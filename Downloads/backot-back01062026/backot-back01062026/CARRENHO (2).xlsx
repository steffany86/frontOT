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Hoja1" sheetId="1" r:id="rId1"/>
    <sheet name="Hoja2" sheetId="2" r:id="rId2"/>
  </sheets>
  <definedNames>
    <definedName name="_xlnm._FilterDatabase" localSheetId="0" hidden="1">Hoja1!$A$4:$BK$55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31" i="1"/>
  <c r="BJ38" i="1"/>
  <c r="BJ40" i="1"/>
  <c r="BJ41" i="1"/>
  <c r="BJ42" i="1"/>
</calcChain>
</file>

<file path=xl/sharedStrings.xml><?xml version="1.0" encoding="utf-8"?>
<sst xmlns="http://schemas.openxmlformats.org/spreadsheetml/2006/main" count="3721" uniqueCount="568">
  <si>
    <t>BO_FS_202605101685516_29162712</t>
  </si>
  <si>
    <t>NULL</t>
  </si>
  <si>
    <t>Mario cesar GONZALES ORTIZ</t>
  </si>
  <si>
    <t>ce_ortiz@yahoo.es</t>
  </si>
  <si>
    <t>Reparacion</t>
  </si>
  <si>
    <t xml:space="preserve">Soporte tecnico         </t>
  </si>
  <si>
    <t>No</t>
  </si>
  <si>
    <t>Atentos loa señores buen swrvicio</t>
  </si>
  <si>
    <t>SI</t>
  </si>
  <si>
    <t>Yes</t>
  </si>
  <si>
    <t>HFC</t>
  </si>
  <si>
    <t>PROMOTOR</t>
  </si>
  <si>
    <t>SANTA CRUZ</t>
  </si>
  <si>
    <t xml:space="preserve">SANTA CRUZ                                        </t>
  </si>
  <si>
    <t xml:space="preserve">JOSE JONATHAN VERA GUTIERREZ                      </t>
  </si>
  <si>
    <t>CONECTADO</t>
  </si>
  <si>
    <t>EAST</t>
  </si>
  <si>
    <t>URBANA</t>
  </si>
  <si>
    <t>R</t>
  </si>
  <si>
    <t>FINALIZADA</t>
  </si>
  <si>
    <t xml:space="preserve">NODO SCZ284                                       </t>
  </si>
  <si>
    <t>NODO SCZ284 RAMAL B TAP 026</t>
  </si>
  <si>
    <t>MAKIRO</t>
  </si>
  <si>
    <t xml:space="preserve">DANIEL CARREÑO ROJAS                              </t>
  </si>
  <si>
    <t>28/05/2026 0:00:00</t>
  </si>
  <si>
    <t>BO_FS_202605282669033_29223247</t>
  </si>
  <si>
    <t>29/05/2026 0:00:00</t>
  </si>
  <si>
    <t>ZACARIAS VALDIVIA CHOQUE</t>
  </si>
  <si>
    <t>zacarias1234@gmail.com</t>
  </si>
  <si>
    <t>Instalacion</t>
  </si>
  <si>
    <t>Instalacion / Activacion</t>
  </si>
  <si>
    <t>I</t>
  </si>
  <si>
    <t>27/05/2026 0:00:00</t>
  </si>
  <si>
    <t>NODO SCZ288 RAMAL D TAP 021</t>
  </si>
  <si>
    <t>BO_FS_202605102524934_29160908</t>
  </si>
  <si>
    <t>luis pablo AVALOS TOLEDO</t>
  </si>
  <si>
    <t>pabloavalos200215@gmail.com</t>
  </si>
  <si>
    <t xml:space="preserve">SANTA CRUZ CAP                                    </t>
  </si>
  <si>
    <t xml:space="preserve">NODO SCZ266                                       </t>
  </si>
  <si>
    <t>NODO SCZ266 RAMAL B TAP 011</t>
  </si>
  <si>
    <t>25/05/2026 16:02:39</t>
  </si>
  <si>
    <t>BO_FS_202605082659753_29158085</t>
  </si>
  <si>
    <t>CRISTIAN CHUVE CHUVIRU</t>
  </si>
  <si>
    <t>cristian.chuvechu@gmail.com</t>
  </si>
  <si>
    <t xml:space="preserve">Excelente trabajo </t>
  </si>
  <si>
    <t xml:space="preserve">NODO SCZ270                                       </t>
  </si>
  <si>
    <t>NODO SCZ270 RAMAL B TAP 025</t>
  </si>
  <si>
    <t>BO_FS_202605072658950_29152051</t>
  </si>
  <si>
    <t>Katalina LOPEZ EGUEZ</t>
  </si>
  <si>
    <t>Lopezeguezkatalina@gmail.com</t>
  </si>
  <si>
    <t xml:space="preserve">Muy bien servicio </t>
  </si>
  <si>
    <t>Katalina LÓPEZ EGUEZ</t>
  </si>
  <si>
    <t xml:space="preserve">NODO SCZ321                                       </t>
  </si>
  <si>
    <t>NODO SCZ321 RAMAL D TAP 007</t>
  </si>
  <si>
    <t>30/04/2026 0:00:00</t>
  </si>
  <si>
    <t>BO_FS_202604302654827_29100462</t>
  </si>
  <si>
    <t>Onesimo RIVERA ORTEGA</t>
  </si>
  <si>
    <t>onesimojd12@gmail.com</t>
  </si>
  <si>
    <t xml:space="preserve">Gracias </t>
  </si>
  <si>
    <t>28/04/2026 0:00:00</t>
  </si>
  <si>
    <t>28/04/2026 22:21:56</t>
  </si>
  <si>
    <t>30/04/2026 10:37:39</t>
  </si>
  <si>
    <t xml:space="preserve">NODO SCZ285                                       </t>
  </si>
  <si>
    <t>NODO SCZ285 RAMAL C TAP 052</t>
  </si>
  <si>
    <t>29/04/2026 0:00:00</t>
  </si>
  <si>
    <t>BO_FS_202604292654801_29100312</t>
  </si>
  <si>
    <t>HERNAN CORTEZ PEREZ</t>
  </si>
  <si>
    <t>Hernancortez71@gmail.com</t>
  </si>
  <si>
    <t>Buena atención amables cumplían consu equipo de trabajo su uniformes que lo identifica</t>
  </si>
  <si>
    <t>28/04/2026 20:47:20</t>
  </si>
  <si>
    <t>29/04/2026 17:51:27</t>
  </si>
  <si>
    <t xml:space="preserve">NODO SCZ318                                       </t>
  </si>
  <si>
    <t>NODO SCZ318 RAMAL A TAP 052</t>
  </si>
  <si>
    <t>BO_FS_202604292655091_29103341</t>
  </si>
  <si>
    <t>Leslie Katherine CHOQUE BLANCO</t>
  </si>
  <si>
    <t>Leslie@gmail.com</t>
  </si>
  <si>
    <t xml:space="preserve">La instalación fué rápida, no tardó ni 30 minutos. Es muy recomendable </t>
  </si>
  <si>
    <t>29/04/2026 13:10:42</t>
  </si>
  <si>
    <t>29/04/2026 15:28:14</t>
  </si>
  <si>
    <t xml:space="preserve">NODO SCZ414                                       </t>
  </si>
  <si>
    <t>NODO SCZ414 RAMAL D TAP 013</t>
  </si>
  <si>
    <t>24/04/2026 0:00:00</t>
  </si>
  <si>
    <t>BO_FS_202604242652458_28970298</t>
  </si>
  <si>
    <t>IVAN ROLANDO JACUMANI MENDOZA</t>
  </si>
  <si>
    <t>Not@gmail.com</t>
  </si>
  <si>
    <t xml:space="preserve">Trabajo eficaz </t>
  </si>
  <si>
    <t>IVÁN ROLANDO JACUMANI MENDOZA</t>
  </si>
  <si>
    <t>23/04/2026 0:00:00</t>
  </si>
  <si>
    <t>23/04/2026 16:11:34</t>
  </si>
  <si>
    <t>24/04/2026 11:09:54</t>
  </si>
  <si>
    <t xml:space="preserve">NODO SCZ275                                       </t>
  </si>
  <si>
    <t>NODO SCZ275 RAMAL D TAP 062</t>
  </si>
  <si>
    <t>BO_FS_202604242652001_28904211</t>
  </si>
  <si>
    <t>Luis Fernando QUIROGA TOLEDO</t>
  </si>
  <si>
    <t>Luisfer21@gmail.com</t>
  </si>
  <si>
    <t>Por el servicio que brindan</t>
  </si>
  <si>
    <t>22/04/2026 0:00:00</t>
  </si>
  <si>
    <t>22/04/2026 17:36:25</t>
  </si>
  <si>
    <t>24/04/2026 9:47:51</t>
  </si>
  <si>
    <t xml:space="preserve">NODO SCZ212                                       </t>
  </si>
  <si>
    <t>NODO SCZ212 RAMAL A TAP 005</t>
  </si>
  <si>
    <t>BO_FS_202604242652480_28970435</t>
  </si>
  <si>
    <t>AMELIA TEREZA FLORES ACEVEDO</t>
  </si>
  <si>
    <t>amelia@gmail.com</t>
  </si>
  <si>
    <t>Si</t>
  </si>
  <si>
    <t xml:space="preserve">Muy puntual  y asistencia rápida </t>
  </si>
  <si>
    <t>23/04/2026 16:34:07</t>
  </si>
  <si>
    <t>24/04/2026 9:22:12</t>
  </si>
  <si>
    <t xml:space="preserve">NODO SCZ272                                       </t>
  </si>
  <si>
    <t>NODO SCZ272 RAMAL B TAP 026</t>
  </si>
  <si>
    <t>BO_FS_202604232651124_28898303</t>
  </si>
  <si>
    <t>Cristina SANCHEZ VACA</t>
  </si>
  <si>
    <t>montenegrogriselda449@gmail.com</t>
  </si>
  <si>
    <t>23/04/2026 12:03:09</t>
  </si>
  <si>
    <t>23/04/2026 18:55:48</t>
  </si>
  <si>
    <t xml:space="preserve">NODO SCZ289                                       </t>
  </si>
  <si>
    <t>NODO SCZ289 RAMAL B TAP 008</t>
  </si>
  <si>
    <t>BO_FS_202604242652447_28970246</t>
  </si>
  <si>
    <t>Camila QUIROZ CESPEDES</t>
  </si>
  <si>
    <t>camilaquiroz05@gmail.com</t>
  </si>
  <si>
    <t>Buena atención y muy amables</t>
  </si>
  <si>
    <t>23/04/2026 16:03:19</t>
  </si>
  <si>
    <t>24/04/2026 9:53:29</t>
  </si>
  <si>
    <t xml:space="preserve">NODO SCZ219                                       </t>
  </si>
  <si>
    <t>NODO SCZ219 RAMAL D TAP 015</t>
  </si>
  <si>
    <t>BO_FS_202604282654307_29096254</t>
  </si>
  <si>
    <t>GUILLMABY  MATUTANO</t>
  </si>
  <si>
    <t>sincorreo@gmail.com</t>
  </si>
  <si>
    <t xml:space="preserve">Fueron muy amables </t>
  </si>
  <si>
    <t>GUILLMABY MATUTANO</t>
  </si>
  <si>
    <t>28/04/2026 10:03:18</t>
  </si>
  <si>
    <t>28/04/2026 15:07:54</t>
  </si>
  <si>
    <t>NODO SCZ284 RAMAL C TAP 010</t>
  </si>
  <si>
    <t>27/04/2026 0:00:00</t>
  </si>
  <si>
    <t>BO_FS_202604272652914_29028168</t>
  </si>
  <si>
    <t>Cinthia JANCO MAMANI</t>
  </si>
  <si>
    <t>jancomamanic@gmail.com</t>
  </si>
  <si>
    <t>27/04/2026 8:37:01</t>
  </si>
  <si>
    <t>27/04/2026 12:28:48</t>
  </si>
  <si>
    <t xml:space="preserve">NODO SCZ286                                       </t>
  </si>
  <si>
    <t>NODO SCZ286 RAMAL B TAP 014</t>
  </si>
  <si>
    <t>BO_FS_202604232650508_28894505</t>
  </si>
  <si>
    <t>Delia SALAZAR ALIENDRES</t>
  </si>
  <si>
    <t>Delialiendre123@gmaill.com</t>
  </si>
  <si>
    <t>23/04/2026 12:01:53</t>
  </si>
  <si>
    <t>23/04/2026 18:50:24</t>
  </si>
  <si>
    <t xml:space="preserve">NODO SCZ927                                       </t>
  </si>
  <si>
    <t>NODO SCZ927 RAMAL D TAP 023</t>
  </si>
  <si>
    <t>BO_FS_202604272653238_29087653</t>
  </si>
  <si>
    <t>Maria cruz FARELL MORENO</t>
  </si>
  <si>
    <t>Florcruz35@gmail.vom</t>
  </si>
  <si>
    <t>María cruz FARELL MORENO</t>
  </si>
  <si>
    <t>25/04/2026 0:00:00</t>
  </si>
  <si>
    <t>25/04/2026 11:15:23</t>
  </si>
  <si>
    <t>27/04/2026 16:46:17</t>
  </si>
  <si>
    <t xml:space="preserve">NODO SCZ461                                       </t>
  </si>
  <si>
    <t>NODO SCZ461 RAMAL D TAP 040</t>
  </si>
  <si>
    <t>BO_FS_202604272653812_29092517</t>
  </si>
  <si>
    <t>Miguel Angel SANCHEZ GOMEZ</t>
  </si>
  <si>
    <t>carmeloferreira26@gmail.com</t>
  </si>
  <si>
    <t>27/04/2026 12:01:26</t>
  </si>
  <si>
    <t>27/04/2026 17:58:04</t>
  </si>
  <si>
    <t xml:space="preserve">NODO SCZ404                                       </t>
  </si>
  <si>
    <t>NODO SCZ404 RAMAL D TAP 060</t>
  </si>
  <si>
    <t>BO_FS_202604282654485_29097570</t>
  </si>
  <si>
    <t>CARLOS NICOLAS MACHICADO PORTELA</t>
  </si>
  <si>
    <t>jakerlu19@gmail.com</t>
  </si>
  <si>
    <t>La instalación tuvo una respuesta rapida</t>
  </si>
  <si>
    <t>28/04/2026 12:44:11</t>
  </si>
  <si>
    <t>28/04/2026 17:52:52</t>
  </si>
  <si>
    <t xml:space="preserve">NODO SCZ926                                       </t>
  </si>
  <si>
    <t>NODO SCZ926 RAMAL D TAP 010</t>
  </si>
  <si>
    <t>15/05/2026 0:00:00</t>
  </si>
  <si>
    <t>BO_FS_202605152660990_29168521</t>
  </si>
  <si>
    <t>18/05/2026 0:00:00</t>
  </si>
  <si>
    <t>FABIOLA MAMANI CHOQUE</t>
  </si>
  <si>
    <t>fabiolamamanich32@gmail.com</t>
  </si>
  <si>
    <t>Hicieron un buen trabajo:)</t>
  </si>
  <si>
    <t>14/05/2026 0:00:00</t>
  </si>
  <si>
    <t>14/05/2026 10:17:09</t>
  </si>
  <si>
    <t>15/05/2026 10:12:51</t>
  </si>
  <si>
    <t>NODO SCZ321 RAMAL C TAP 030</t>
  </si>
  <si>
    <t>BO_FS_202605152662795_29179740</t>
  </si>
  <si>
    <t>Roger RAMON PADILLA</t>
  </si>
  <si>
    <t>ramonpadillaroger@gmail.com</t>
  </si>
  <si>
    <t>Roger RAMÓN PADILLA</t>
  </si>
  <si>
    <t>14/05/2026 13:18:52</t>
  </si>
  <si>
    <t>15/05/2026 13:43:36</t>
  </si>
  <si>
    <t>NODO SCZ285 RAMAL B TAP 039</t>
  </si>
  <si>
    <t>BO_FS_202605152662378_29176801</t>
  </si>
  <si>
    <t>Erwin CHAMBI RICALDEZ</t>
  </si>
  <si>
    <t>Erwin12@gmail.com</t>
  </si>
  <si>
    <t>13/05/2026 0:00:00</t>
  </si>
  <si>
    <t>13/05/2026 16:46:19</t>
  </si>
  <si>
    <t>15/05/2026 9:57:10</t>
  </si>
  <si>
    <t xml:space="preserve">NODO SCZ267                                       </t>
  </si>
  <si>
    <t>NODO SCZ267 RAMAL C TAP 026</t>
  </si>
  <si>
    <t>BO_FS_202605142661045_29168783</t>
  </si>
  <si>
    <t>17/05/2026 0:00:00</t>
  </si>
  <si>
    <t>CARLOS OSWALDO DACOSTA LIJERON</t>
  </si>
  <si>
    <t>dacostal@gmail.com</t>
  </si>
  <si>
    <t>14/05/2026 12:35:29</t>
  </si>
  <si>
    <t>14/05/2026 19:50:34</t>
  </si>
  <si>
    <t xml:space="preserve">NODO SCZ123                                       </t>
  </si>
  <si>
    <t>NODO SCZ123 RAMAL C TAP 030</t>
  </si>
  <si>
    <t>BO_FS_202605142661655_29173424</t>
  </si>
  <si>
    <t>Hope Noemy PONCE MENDOZA</t>
  </si>
  <si>
    <t>bgalarzaponce@gmail.com</t>
  </si>
  <si>
    <t>PASIVO</t>
  </si>
  <si>
    <t>13/05/2026 9:13:50</t>
  </si>
  <si>
    <t>14/05/2026 12:25:02</t>
  </si>
  <si>
    <t xml:space="preserve">NODO GRD178                                       </t>
  </si>
  <si>
    <t>NODO GRD178 RAMAL D TAP 044</t>
  </si>
  <si>
    <t>21/05/2026 0:00:00</t>
  </si>
  <si>
    <t>BO_FS_202605212665678_29200626</t>
  </si>
  <si>
    <t>24/05/2026 0:00:00</t>
  </si>
  <si>
    <t>Jhon Daniel JAIMES CARVALLO</t>
  </si>
  <si>
    <t>jaimesdaniel082@gmail.com</t>
  </si>
  <si>
    <t>Asistencia rapida</t>
  </si>
  <si>
    <t>20/05/2026 0:00:00</t>
  </si>
  <si>
    <t>20/05/2026 16:11:23</t>
  </si>
  <si>
    <t>21/05/2026 9:47:23</t>
  </si>
  <si>
    <t xml:space="preserve">NODO SCZ846                                       </t>
  </si>
  <si>
    <t>NODO SCZ846 RAMAL B TAP 030</t>
  </si>
  <si>
    <t>23/05/2026 0:00:00</t>
  </si>
  <si>
    <t>BO_FS_202605232666965_29209953</t>
  </si>
  <si>
    <t>ANTONIO YAVITA ROSALES</t>
  </si>
  <si>
    <t>guirapoiguayavitajudith@gmail.com</t>
  </si>
  <si>
    <t>23/05/2026 11:17:45</t>
  </si>
  <si>
    <t>23/05/2026 12:38:25</t>
  </si>
  <si>
    <t xml:space="preserve">NODO SCZ271                                       </t>
  </si>
  <si>
    <t>NODO SCZ271 RAMAL D TAP 010</t>
  </si>
  <si>
    <t>BO_FS_202605232666994_29208851</t>
  </si>
  <si>
    <t>Israel ZEBALLOS TORRICO</t>
  </si>
  <si>
    <t>israelzeballostorrico250@gmail.com</t>
  </si>
  <si>
    <t>22/05/2026 0:00:00</t>
  </si>
  <si>
    <t>22/05/2026 19:31:01</t>
  </si>
  <si>
    <t>23/05/2026 10:47:01</t>
  </si>
  <si>
    <t xml:space="preserve">NODO SCZ287                                       </t>
  </si>
  <si>
    <t>NODO SCZ287 RAMAL C TAP 018</t>
  </si>
  <si>
    <t>BO_FS_202605232480261_29210542</t>
  </si>
  <si>
    <t>ALFREDO VACA CASTRO</t>
  </si>
  <si>
    <t>sincorreo@sincorreo.com</t>
  </si>
  <si>
    <t xml:space="preserve">Buena presencia, buena atención </t>
  </si>
  <si>
    <t>23/05/2026 13:08:47</t>
  </si>
  <si>
    <t>23/05/2026 15:34:17</t>
  </si>
  <si>
    <t xml:space="preserve">NODO SCZ191                                       </t>
  </si>
  <si>
    <t>NODO SCZ191 RAMAL B TAP 052</t>
  </si>
  <si>
    <t>BO_FS_202605042656640_29119172</t>
  </si>
  <si>
    <t>NELSON ROCA COPA</t>
  </si>
  <si>
    <t>rocacopanelson8@gmail.com</t>
  </si>
  <si>
    <t xml:space="preserve">Exelente servicio </t>
  </si>
  <si>
    <t>NODO SCZ270 RAMAL C TAP 023</t>
  </si>
  <si>
    <t>16/05/2026 0:00:00</t>
  </si>
  <si>
    <t>BO_FS_202605162663801_29186660</t>
  </si>
  <si>
    <t>Heidy AGUILAR ESPINOZA</t>
  </si>
  <si>
    <t>heidyaguilarewpinoza@gmail.com</t>
  </si>
  <si>
    <t>16/05/2026 10:38:32</t>
  </si>
  <si>
    <t>16/05/2026 14:42:55</t>
  </si>
  <si>
    <t xml:space="preserve">NODO SCZ209                                       </t>
  </si>
  <si>
    <t>NODO SCZ209 RAMAL A TAP 031</t>
  </si>
  <si>
    <t>BO_FS_202605172663715_29185528</t>
  </si>
  <si>
    <t>ALDRIN JUSTINIANO MONTERO</t>
  </si>
  <si>
    <t>aldrinjustiniano@gmail.com</t>
  </si>
  <si>
    <t xml:space="preserve">Por qué es un buen servicio </t>
  </si>
  <si>
    <t>15/05/2026 20:45:21</t>
  </si>
  <si>
    <t>17/05/2026 9:30:18</t>
  </si>
  <si>
    <t xml:space="preserve">NODO GRD181                                       </t>
  </si>
  <si>
    <t>NODO GRD181 RAMAL D TAP 031</t>
  </si>
  <si>
    <t>BO_FS_202605142662574_29178234</t>
  </si>
  <si>
    <t>Fabiana ROJAS ARISPE</t>
  </si>
  <si>
    <t>fabianaroja2003@gmail.com</t>
  </si>
  <si>
    <t>14/05/2026 9:08:59</t>
  </si>
  <si>
    <t>14/05/2026 14:20:03</t>
  </si>
  <si>
    <t xml:space="preserve">NODO GRD269                                       </t>
  </si>
  <si>
    <t>NODO GRD269 RAMAL C TAP 007</t>
  </si>
  <si>
    <t>BO_FS_202605172664029_29188289</t>
  </si>
  <si>
    <t>Matias TORRICO ORELLANA</t>
  </si>
  <si>
    <t>Torrioorellanamatias@gmail.com</t>
  </si>
  <si>
    <t xml:space="preserve">Muy eficiente en la instalación del equipo </t>
  </si>
  <si>
    <t>NO</t>
  </si>
  <si>
    <t>16/05/2026 20:21:41</t>
  </si>
  <si>
    <t>17/05/2026 12:59:01</t>
  </si>
  <si>
    <t>NODO GRD181 RAMAL A TAP 015</t>
  </si>
  <si>
    <t>19/05/2026 0:00:00</t>
  </si>
  <si>
    <t>BO_FS_202605192661004_29179752</t>
  </si>
  <si>
    <t>JHOJAN JHOSIT MARQUEZ CORREA</t>
  </si>
  <si>
    <t>jhojandextroyer@gmail.com</t>
  </si>
  <si>
    <t>19/05/2026 11:19:16</t>
  </si>
  <si>
    <t>19/05/2026 17:01:03</t>
  </si>
  <si>
    <t>NODO SCZ270 RAMAL C TAP 032</t>
  </si>
  <si>
    <t>BO_FS_202605132660360_29162779</t>
  </si>
  <si>
    <t>GEIDY LUCIANA PERALTA SOLIZ</t>
  </si>
  <si>
    <t>junior123elmen@gmail.com</t>
  </si>
  <si>
    <t xml:space="preserve">Buen servicio </t>
  </si>
  <si>
    <t>13/05/2026 9:42:10</t>
  </si>
  <si>
    <t>13/05/2026 17:22:08</t>
  </si>
  <si>
    <t xml:space="preserve">NODO SCZ291                                       </t>
  </si>
  <si>
    <t>NODO SCZ291 RAMAL D TAP 039</t>
  </si>
  <si>
    <t>BO_FS_202605122661514_29170502</t>
  </si>
  <si>
    <t>RUBEN DARIO CUELLAR CARDENAS</t>
  </si>
  <si>
    <t>rubendariocuellar@gmail.com</t>
  </si>
  <si>
    <t xml:space="preserve">NODO SCZ337                                       </t>
  </si>
  <si>
    <t>NODO SCZ337 RAMAL C TAP 008</t>
  </si>
  <si>
    <t>BO_FS_202605132661220_29169248</t>
  </si>
  <si>
    <t>Fructuosa HERRERA HINOJOSA</t>
  </si>
  <si>
    <t>fructuosaherrera@gmail.com</t>
  </si>
  <si>
    <t>Buen trabajo</t>
  </si>
  <si>
    <t>13/05/2026 9:12:36</t>
  </si>
  <si>
    <t>NODO SCZ272 RAMAL C TAP 019</t>
  </si>
  <si>
    <t>BO_FS_202605122660805_29166472</t>
  </si>
  <si>
    <t>JORGE ZABALA BECERRA</t>
  </si>
  <si>
    <t>Shadowalfabravo@gmail.com</t>
  </si>
  <si>
    <t xml:space="preserve">Todo excelente por los instaladores pero solo permiten el lago del cable 50 m. Por lo que eso complica la instalación a veces </t>
  </si>
  <si>
    <t>NODO SCZ291 RAMAL C TAP 016</t>
  </si>
  <si>
    <t>BO_FS_202605122660786_29166307</t>
  </si>
  <si>
    <t>ERIK DANIEL AGUILAR GONZALES</t>
  </si>
  <si>
    <t>erikdanielaguilargonzales01@gmail.com</t>
  </si>
  <si>
    <t xml:space="preserve">Fue muy amable al instalar y me ayudó a poder colectar en un buen lugar , muy buena atención </t>
  </si>
  <si>
    <t>NODO SCZ275 RAMAL C TAP 022</t>
  </si>
  <si>
    <t>BO_FS_202605122660779_29166247</t>
  </si>
  <si>
    <t>MARCO ANTONIO OLIVERA RAMOS</t>
  </si>
  <si>
    <t>deliciaoliveraramos@gmail.com</t>
  </si>
  <si>
    <t xml:space="preserve">NODO SCZ290                                       </t>
  </si>
  <si>
    <t>NODO SCZ290 RAMAL A TAP 018</t>
  </si>
  <si>
    <t>BO_FS_202605132657172_29122286</t>
  </si>
  <si>
    <t>VEIMAR MAMANI CASTRO</t>
  </si>
  <si>
    <t>veimarmamanicastro1999i@gmail.com</t>
  </si>
  <si>
    <t xml:space="preserve">Servicio apacible. Asesores con capacidad de entender la necesidad que tenemos los clientes </t>
  </si>
  <si>
    <t>13/05/2026 15:56:13</t>
  </si>
  <si>
    <t>NODO SCZ272 RAMAL D TAP 019</t>
  </si>
  <si>
    <t>BO_FS_202605132661737_29172091</t>
  </si>
  <si>
    <t>Wendy MENDOZA CORTEZ</t>
  </si>
  <si>
    <t>Wendymendoa21@gmail.com</t>
  </si>
  <si>
    <t>Buen servicio</t>
  </si>
  <si>
    <t>13/05/2026 11:09:51</t>
  </si>
  <si>
    <t>NODO SCZ266 RAMAL C TAP 020</t>
  </si>
  <si>
    <t>27/05/2026 16:03:01</t>
  </si>
  <si>
    <t>26/05/2026 0:00:00</t>
  </si>
  <si>
    <t>BO_FS_202605262667547_29212416</t>
  </si>
  <si>
    <t>Carmelo MAMANI MAMANI</t>
  </si>
  <si>
    <t>carmelommamani@gmail.com</t>
  </si>
  <si>
    <t>24/05/2026 15:38:05</t>
  </si>
  <si>
    <t>26/05/2026 14:47:03</t>
  </si>
  <si>
    <t xml:space="preserve">NODO GRD290                                       </t>
  </si>
  <si>
    <t>NODO GRD290 RAMAL A TAP 019</t>
  </si>
  <si>
    <t>BO_FS_202605262668153_29216737</t>
  </si>
  <si>
    <t>FELICIANO AYALA URQUIZA</t>
  </si>
  <si>
    <t xml:space="preserve">Buena atención </t>
  </si>
  <si>
    <t>25/05/2026 0:00:00</t>
  </si>
  <si>
    <t>25/05/2026 17:00:14</t>
  </si>
  <si>
    <t>26/05/2026 16:08:30</t>
  </si>
  <si>
    <t xml:space="preserve">NODO SCZ832                                       </t>
  </si>
  <si>
    <t>NODO SCZ832 RAMAL B TAP 006</t>
  </si>
  <si>
    <t>BO_FS_202605262666194_29203571</t>
  </si>
  <si>
    <t>MARIA ELENA  FLORES COPA</t>
  </si>
  <si>
    <t>mariaelenaflorescopa27@gmail.com</t>
  </si>
  <si>
    <t xml:space="preserve">Buen trabajo </t>
  </si>
  <si>
    <t>MARIA ELENA FLORES COPA</t>
  </si>
  <si>
    <t>25/05/2026 8:41:17</t>
  </si>
  <si>
    <t>26/05/2026 8:36:53</t>
  </si>
  <si>
    <t xml:space="preserve">NODO GRD299                                       </t>
  </si>
  <si>
    <t>NODO GRD299 RAMAL A TAP 016</t>
  </si>
  <si>
    <t>BO_FS_202605252667525_29212288</t>
  </si>
  <si>
    <t>Miguel Angel CHAVEZ MANSILLA</t>
  </si>
  <si>
    <t>morenowendynayerly@gmail.com</t>
  </si>
  <si>
    <t xml:space="preserve">Excelente </t>
  </si>
  <si>
    <t>24/05/2026 14:03:50</t>
  </si>
  <si>
    <t>25/05/2026 12:28:25</t>
  </si>
  <si>
    <t xml:space="preserve">NODO SCZ297                                       </t>
  </si>
  <si>
    <t>NODO SCZ297 RAMAL D TAP 016</t>
  </si>
  <si>
    <t>BO_FS_202605262668114_29216520</t>
  </si>
  <si>
    <t>ANA PAOLA JIMENEZ FERNANDEZ</t>
  </si>
  <si>
    <t>nefertaryguissellefrancojimene@gmail.com</t>
  </si>
  <si>
    <t xml:space="preserve">Buena atención y son puntuales </t>
  </si>
  <si>
    <t>25/05/2026 16:34:02</t>
  </si>
  <si>
    <t>26/05/2026 9:40:36</t>
  </si>
  <si>
    <t>NODO GRD178 RAMAL A TAP 017</t>
  </si>
  <si>
    <t>BO_FS_202605252667851_29214798</t>
  </si>
  <si>
    <t>Leonardo CUETO AVILA</t>
  </si>
  <si>
    <t>leonardcue88@gmail.com</t>
  </si>
  <si>
    <t>Conexión de señal wf</t>
  </si>
  <si>
    <t>25/05/2026 12:20:27</t>
  </si>
  <si>
    <t>25/05/2026 16:25:57</t>
  </si>
  <si>
    <t xml:space="preserve">NODO SCZ298                                       </t>
  </si>
  <si>
    <t>NODO SCZ298 RAMAL B TAP 001</t>
  </si>
  <si>
    <t>BO_FS_202605232667010_29208906</t>
  </si>
  <si>
    <t>JAIRO MAMANI</t>
  </si>
  <si>
    <t>Jairomamani@gmail.com</t>
  </si>
  <si>
    <t xml:space="preserve">Todo un medio  día tuve que esperar la instalación  </t>
  </si>
  <si>
    <t>22/05/2026 20:16:07</t>
  </si>
  <si>
    <t>23/05/2026 13:26:55</t>
  </si>
  <si>
    <t xml:space="preserve">NODO SCZ221                                       </t>
  </si>
  <si>
    <t>NODO SCZ221 RAMAL D TAP 006</t>
  </si>
  <si>
    <t>BO_FS_202605272668680_29220488</t>
  </si>
  <si>
    <t>IGNACIO MANUEL MANACA SAUCEDO</t>
  </si>
  <si>
    <t>ignaciomanacasaucedo@gmail.com</t>
  </si>
  <si>
    <t>26/05/2026 14:49:19</t>
  </si>
  <si>
    <t>27/05/2026 14:30:41</t>
  </si>
  <si>
    <t xml:space="preserve">NODO SCZ197                                       </t>
  </si>
  <si>
    <t>NODO SCZ197 RAMAL B TAP 007</t>
  </si>
  <si>
    <t>31/05/2026 0:00:00</t>
  </si>
  <si>
    <t>BO_FS_202605312670957_29242377</t>
  </si>
  <si>
    <t>ALISON CORIA CALIZAYA</t>
  </si>
  <si>
    <t>alisoncaria51@gmail.com</t>
  </si>
  <si>
    <t>30/05/2026 0:00:00</t>
  </si>
  <si>
    <t>30/05/2026 16:46:32</t>
  </si>
  <si>
    <t>31/05/2026 11:43:34</t>
  </si>
  <si>
    <t>NODO SCZ287 RAMAL C TAP 026</t>
  </si>
  <si>
    <t>BO_FS_202605292669771_29229465</t>
  </si>
  <si>
    <t>Carlos Daniel SOLIZ CABRERA</t>
  </si>
  <si>
    <t>carlossolizdaniel@gmail.com</t>
  </si>
  <si>
    <t>28/05/2026 16:11:36</t>
  </si>
  <si>
    <t>29/05/2026 15:55:03</t>
  </si>
  <si>
    <t>NODO SCZ297 RAMAL B TAP 029</t>
  </si>
  <si>
    <t>BO_FS_202605292669519_29227369</t>
  </si>
  <si>
    <t>GUSTAVO PAZ JUSTINIANO</t>
  </si>
  <si>
    <t>gpjustiniano@gmail.com</t>
  </si>
  <si>
    <t>28/05/2026 11:43:05</t>
  </si>
  <si>
    <t>29/05/2026 10:10:56</t>
  </si>
  <si>
    <t>NODO SCZ275 RAMAL A TAP 011</t>
  </si>
  <si>
    <t>05/10/2026 0:00</t>
  </si>
  <si>
    <t>29162712</t>
  </si>
  <si>
    <t>05/10/2026 0:002</t>
  </si>
  <si>
    <t>NULL3</t>
  </si>
  <si>
    <t>NULL4</t>
  </si>
  <si>
    <t>1685516</t>
  </si>
  <si>
    <t>NULL5</t>
  </si>
  <si>
    <t>05/10/2026 0:006</t>
  </si>
  <si>
    <t>NULL7</t>
  </si>
  <si>
    <t>10</t>
  </si>
  <si>
    <t>NULL8</t>
  </si>
  <si>
    <t>NULL9</t>
  </si>
  <si>
    <t>NULL10</t>
  </si>
  <si>
    <t>NULL11</t>
  </si>
  <si>
    <t>NULL12</t>
  </si>
  <si>
    <t>NULL13</t>
  </si>
  <si>
    <t>NULL14</t>
  </si>
  <si>
    <t>NULL15</t>
  </si>
  <si>
    <t>NULL16</t>
  </si>
  <si>
    <t>NULL17</t>
  </si>
  <si>
    <t>NULL18</t>
  </si>
  <si>
    <t>168551619</t>
  </si>
  <si>
    <t>2916271220</t>
  </si>
  <si>
    <t>Mario cesar GONZALES ORTIZ21</t>
  </si>
  <si>
    <t>SANTA CRUZ                                        22</t>
  </si>
  <si>
    <t>SANTA CRUZ                                        23</t>
  </si>
  <si>
    <t>HFC24</t>
  </si>
  <si>
    <t>05/08/2026 0:00</t>
  </si>
  <si>
    <t>05/08/2026 20:13</t>
  </si>
  <si>
    <t>202605</t>
  </si>
  <si>
    <t>1025</t>
  </si>
  <si>
    <t>05/10/2026 0:0026</t>
  </si>
  <si>
    <t>05/10/2026 12:33</t>
  </si>
  <si>
    <t>3744</t>
  </si>
  <si>
    <t>MAKIRO27</t>
  </si>
  <si>
    <t>06/01/2026 16:02</t>
  </si>
  <si>
    <t>18298</t>
  </si>
  <si>
    <t>FECHA_CREACION</t>
  </si>
  <si>
    <t>ID_TRANSACCION</t>
  </si>
  <si>
    <t>NRO_ORDEN</t>
  </si>
  <si>
    <t>SURVEYID_FOR_INTERNAL_USE</t>
  </si>
  <si>
    <t>FECHA_DE_RESPUESTA</t>
  </si>
  <si>
    <t>TIPO_DE_ALERTA</t>
  </si>
  <si>
    <t>TIPO_DE_ENCUESTA</t>
  </si>
  <si>
    <t>NOMBRE_CLIENTE</t>
  </si>
  <si>
    <t>ID_CLIENTE</t>
  </si>
  <si>
    <t>UNIT</t>
  </si>
  <si>
    <t>EMAIL</t>
  </si>
  <si>
    <t>TIPO_DE_TRANSACCION</t>
  </si>
  <si>
    <t>FECHA_DE_TRANSACCION_</t>
  </si>
  <si>
    <t>JOURNEY</t>
  </si>
  <si>
    <t>FLAG_B2B</t>
  </si>
  <si>
    <t>FIELD_SERV_SUBTIPO_TRAN_GLOBAL</t>
  </si>
  <si>
    <t>LTR</t>
  </si>
  <si>
    <t>LIKELIHOOD_TO_RECOMMEND_COME</t>
  </si>
  <si>
    <t>CES</t>
  </si>
  <si>
    <t>CSAT</t>
  </si>
  <si>
    <t>FCR_COMMENT_EXPORT</t>
  </si>
  <si>
    <t>FCR</t>
  </si>
  <si>
    <t>CUMPLIMIENTO_DE_AGENDA</t>
  </si>
  <si>
    <t>Tecnologia</t>
  </si>
  <si>
    <t>TA_TOPICOS_LTR</t>
  </si>
  <si>
    <t>NPS_TIPO</t>
  </si>
  <si>
    <t>SATISFACCION_TIEMPO_ENTREGA</t>
  </si>
  <si>
    <t>IMAGEN_PERSONAL</t>
  </si>
  <si>
    <t>AMABILIDAD_TECNICO</t>
  </si>
  <si>
    <t>CONOCIMIENTO_TECNICO</t>
  </si>
  <si>
    <t>IMAGEN_PERSONAL_2</t>
  </si>
  <si>
    <t>AMABILIDAD_TECNICO_2</t>
  </si>
  <si>
    <t>CONOCIMIENTO_TECNICO_2</t>
  </si>
  <si>
    <t>DEPARTAMENTO</t>
  </si>
  <si>
    <t>CIUDAD</t>
  </si>
  <si>
    <t>SUPERVISOR_1</t>
  </si>
  <si>
    <t>CLIENTENRO</t>
  </si>
  <si>
    <t>ORDENNRO</t>
  </si>
  <si>
    <t>CLIENTE_NOMBRE_COMPLETO</t>
  </si>
  <si>
    <t>CLIENTE_ESTADO</t>
  </si>
  <si>
    <t>DEPARTAMENTO_SIGA</t>
  </si>
  <si>
    <t>TERRITORY</t>
  </si>
  <si>
    <t>CIUDAD_SIGA</t>
  </si>
  <si>
    <t>POBLACION_CLIENTE</t>
  </si>
  <si>
    <t>TECNOLOGIA_SIGA</t>
  </si>
  <si>
    <t>ORDEN_TIPO_COD</t>
  </si>
  <si>
    <t>ORDEN_ESTADO</t>
  </si>
  <si>
    <t>ORDEN_FECHA_REGISTRO</t>
  </si>
  <si>
    <t>ORDEN_HORA_REGISTRO</t>
  </si>
  <si>
    <t>ORDEN_MES_FINALIZACION</t>
  </si>
  <si>
    <t>DIAFIN</t>
  </si>
  <si>
    <t>ORDEN_FECHA_FINALIZACION</t>
  </si>
  <si>
    <t>ORDEN_HORA_FINALIZACION</t>
  </si>
  <si>
    <t>ZONA_GRUPO</t>
  </si>
  <si>
    <t>ZONA_TAP</t>
  </si>
  <si>
    <t>DEALER_TECNICO_NOMBRE</t>
  </si>
  <si>
    <t>TECNICOID</t>
  </si>
  <si>
    <t>TECNICO_NOMBRE</t>
  </si>
  <si>
    <t>Column 75</t>
  </si>
  <si>
    <t>Exelente servicio</t>
  </si>
  <si>
    <t>SANTA CRUZ CAP</t>
  </si>
  <si>
    <t>JOSE JONATHAN VERA GUTIERREZ</t>
  </si>
  <si>
    <t>NODO SCZ270</t>
  </si>
  <si>
    <t>DANIEL CARREÑO ROJAS</t>
  </si>
  <si>
    <t>Muy bien servicio</t>
  </si>
  <si>
    <t>NODO SCZ321</t>
  </si>
  <si>
    <t>Excelente trabajo</t>
  </si>
  <si>
    <t>NODO SCZ337</t>
  </si>
  <si>
    <t>NODO SCZ291</t>
  </si>
  <si>
    <t>NODO SCZ272</t>
  </si>
  <si>
    <t>Todo excelente por los instaladores pero solo permiten el lago del cable 50 m. Por lo que eso complica la instalación a veces</t>
  </si>
  <si>
    <t>Servicio apacible. Asesores con capacidad de entender la necesidad que tenemos los clientes</t>
  </si>
  <si>
    <t>NODO SCZ266</t>
  </si>
  <si>
    <t>Fue muy amable al instalar y me ayudó a poder colectar en un buen lugar , muy buena atención</t>
  </si>
  <si>
    <t>NODO SCZ275</t>
  </si>
  <si>
    <t>NODO SCZ290</t>
  </si>
  <si>
    <t>NODO SCZ123</t>
  </si>
  <si>
    <t>NODO GRD269</t>
  </si>
  <si>
    <t>Por qué es un buen servicio</t>
  </si>
  <si>
    <t>NODO GRD181</t>
  </si>
  <si>
    <t>Muy eficiente en la instalación del equipo</t>
  </si>
  <si>
    <t>NODO SCZ209</t>
  </si>
  <si>
    <t>NODO GRD178</t>
  </si>
  <si>
    <t>NODO SCZ285</t>
  </si>
  <si>
    <t>NODO SCZ267</t>
  </si>
  <si>
    <t>BO_FS_202605192664882_29195054</t>
  </si>
  <si>
    <t>Elisabeth RAMOS MALDONADO</t>
  </si>
  <si>
    <t>roshelflores6@gmail.com</t>
  </si>
  <si>
    <t>MONTERO</t>
  </si>
  <si>
    <t>NODO MON167</t>
  </si>
  <si>
    <t>NODO MON167 RAMAL C TAP 019</t>
  </si>
  <si>
    <t>NODO SCZ846</t>
  </si>
  <si>
    <t>NODO SCZ271</t>
  </si>
  <si>
    <t>NODO SCZ287</t>
  </si>
  <si>
    <t>Buena presencia, buena atención</t>
  </si>
  <si>
    <t>NODO SCZ191</t>
  </si>
  <si>
    <t>NODO GRD290</t>
  </si>
  <si>
    <t>Buena atención</t>
  </si>
  <si>
    <t>NODO SCZ832</t>
  </si>
  <si>
    <t>NODO GRD299</t>
  </si>
  <si>
    <t>Excelente</t>
  </si>
  <si>
    <t>NODO SCZ297</t>
  </si>
  <si>
    <t>Buena atención y son puntuales</t>
  </si>
  <si>
    <t>NODO SCZ298</t>
  </si>
  <si>
    <t>Todo un medio día tuve que esperar la instalación</t>
  </si>
  <si>
    <t>NODO SCZ221</t>
  </si>
  <si>
    <t>NODO SCZ197</t>
  </si>
  <si>
    <t>NODO SCZ288</t>
  </si>
  <si>
    <t>Column 76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</si>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</sst>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22" fontId="0" fillId="0" borderId="0" xfId="0" applyNumberFormat="1"/>
    <xf numFmtId="0" fontId="0" fillId="0" borderId="2" xfId="0" applyFont="1" applyBorder="1"/>
    <xf numFmtId="22" fontId="0" fillId="0" borderId="2" xfId="0" applyNumberFormat="1" applyFont="1" applyBorder="1"/>
    <xf numFmtId="0" fontId="0" fillId="0" borderId="1" xfId="0" applyFont="1" applyBorder="1"/>
    <xf numFmtId="0" fontId="0" fillId="0" borderId="3" xfId="0" applyFont="1" applyBorder="1"/>
    <xf numFmtId="14" fontId="0" fillId="0" borderId="0" xfId="0" applyNumberFormat="1"/>
    <xf numFmtId="4" fontId="0" fillId="0" borderId="0" xfId="0" applyNumberFormat="1"/>
    <xf numFmtId="22" fontId="1" fillId="2" borderId="4" xfId="0" applyNumberFormat="1" applyFont="1" applyFill="1" applyBorder="1"/>
    <xf numFmtId="0" fontId="1" fillId="2" borderId="5" xfId="0" applyFont="1" applyFill="1" applyBorder="1"/>
    <xf numFmtId="22" fontId="1" fillId="2" borderId="5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22" fontId="0" fillId="3" borderId="5" xfId="0" applyNumberFormat="1" applyFont="1" applyFill="1" applyBorder="1"/>
    <xf numFmtId="0" fontId="0" fillId="3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22" fontId="0" fillId="0" borderId="5" xfId="0" applyNumberFormat="1" applyFont="1" applyBorder="1"/>
    <xf numFmtId="0" fontId="0" fillId="0" borderId="6" xfId="0" applyFont="1" applyBorder="1"/>
    <xf numFmtId="22" fontId="0" fillId="3" borderId="4" xfId="0" applyNumberFormat="1" applyFont="1" applyFill="1" applyBorder="1"/>
    <xf numFmtId="0" fontId="0" fillId="0" borderId="4" xfId="0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4" formatCode="#,##0.00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4" formatCode="#,##0.00"/>
    </dxf>
    <dxf>
      <numFmt numFmtId="4" formatCode="#,##0.0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BH39" totalsRowShown="0">
  <autoFilter ref="A1:BH39"/>
  <tableColumns count="60">
    <tableColumn id="1" name="FECHA_CREACION" dataDxfId="11"/>
    <tableColumn id="2" name="ID_TRANSACCION"/>
    <tableColumn id="3" name="NRO_ORDEN"/>
    <tableColumn id="4" name="SURVEYID_FOR_INTERNAL_USE"/>
    <tableColumn id="5" name="FECHA_DE_RESPUESTA" dataDxfId="10"/>
    <tableColumn id="6" name="TIPO_DE_ALERTA"/>
    <tableColumn id="7" name="TIPO_DE_ENCUESTA"/>
    <tableColumn id="8" name="NOMBRE_CLIENTE"/>
    <tableColumn id="9" name="ID_CLIENTE"/>
    <tableColumn id="10" name="UNIT"/>
    <tableColumn id="11" name="EMAIL"/>
    <tableColumn id="12" name="TIPO_DE_TRANSACCION"/>
    <tableColumn id="13" name="FECHA_DE_TRANSACCION_" dataDxfId="9"/>
    <tableColumn id="14" name="JOURNEY"/>
    <tableColumn id="15" name="FLAG_B2B"/>
    <tableColumn id="16" name="FIELD_SERV_SUBTIPO_TRAN_GLOBAL"/>
    <tableColumn id="17" name="LTR"/>
    <tableColumn id="18" name="LIKELIHOOD_TO_RECOMMEND_COME"/>
    <tableColumn id="19" name="CES"/>
    <tableColumn id="20" name="CSAT"/>
    <tableColumn id="21" name="FCR_COMMENT_EXPORT"/>
    <tableColumn id="22" name="FCR"/>
    <tableColumn id="23" name="CUMPLIMIENTO_DE_AGENDA"/>
    <tableColumn id="24" name="Tecnologia"/>
    <tableColumn id="25" name="TA_TOPICOS_LTR"/>
    <tableColumn id="26" name="NPS_TIPO"/>
    <tableColumn id="27" name="SATISFACCION_TIEMPO_ENTREGA"/>
    <tableColumn id="28" name="IMAGEN_PERSONAL"/>
    <tableColumn id="29" name="AMABILIDAD_TECNICO"/>
    <tableColumn id="30" name="CONOCIMIENTO_TECNICO"/>
    <tableColumn id="31" name="IMAGEN_PERSONAL_2"/>
    <tableColumn id="32" name="AMABILIDAD_TECNICO_2"/>
    <tableColumn id="33" name="CONOCIMIENTO_TECNICO_2"/>
    <tableColumn id="34" name="DEPARTAMENTO"/>
    <tableColumn id="35" name="CIUDAD"/>
    <tableColumn id="36" name="SUPERVISOR_1"/>
    <tableColumn id="37" name="CLIENTENRO" dataDxfId="8"/>
    <tableColumn id="38" name="ORDENNRO" dataDxfId="7"/>
    <tableColumn id="39" name="CLIENTE_NOMBRE_COMPLETO"/>
    <tableColumn id="40" name="CLIENTE_ESTADO"/>
    <tableColumn id="41" name="DEPARTAMENTO_SIGA"/>
    <tableColumn id="42" name="TERRITORY"/>
    <tableColumn id="43" name="CIUDAD_SIGA"/>
    <tableColumn id="44" name="POBLACION_CLIENTE"/>
    <tableColumn id="45" name="TECNOLOGIA_SIGA"/>
    <tableColumn id="46" name="ORDEN_TIPO_COD"/>
    <tableColumn id="47" name="ORDEN_ESTADO"/>
    <tableColumn id="48" name="ORDEN_FECHA_REGISTRO" dataDxfId="6"/>
    <tableColumn id="49" name="ORDEN_HORA_REGISTRO" dataDxfId="5"/>
    <tableColumn id="50" name="ORDEN_MES_FINALIZACION"/>
    <tableColumn id="51" name="DIAFIN"/>
    <tableColumn id="52" name="ORDEN_FECHA_FINALIZACION" dataDxfId="4"/>
    <tableColumn id="53" name="ORDEN_HORA_FINALIZACION" dataDxfId="3"/>
    <tableColumn id="54" name="ZONA_GRUPO"/>
    <tableColumn id="55" name="ZONA_TAP"/>
    <tableColumn id="56" name="DEALER_TECNICO_NOMBRE"/>
    <tableColumn id="57" name="TECNICOID" dataDxfId="2"/>
    <tableColumn id="58" name="TECNICO_NOMBRE"/>
    <tableColumn id="59" name="Column 75"/>
    <tableColumn id="60" name="Column 76" dataDxfId="1">
      <calculatedColumnFormula>VLOOKUP(Tabla2[[#This Row],[ID_TRANSACCION]],Hoja1!$B$4:$B$55,1,FALSE)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4:BK55"/>
  <sheetViews>
    <sheetView tabSelected="1" topLeftCell="BB4" workbookViewId="0">
      <selection activeCell="BH8" sqref="BH8:BH16"/>
    </sheetView>
  </sheetViews>
  <sheetFormatPr baseColWidth="10" defaultRowHeight="15" x14ac:dyDescent="0.25"/>
  <cols>
    <col min="1" max="1" width="16.85546875" customWidth="1"/>
    <col min="2" max="2" width="33.7109375" customWidth="1"/>
    <col min="5" max="5" width="17.85546875" customWidth="1"/>
    <col min="8" max="8" width="28.85546875" customWidth="1"/>
    <col min="11" max="11" width="20" customWidth="1"/>
    <col min="12" max="12" width="13" customWidth="1"/>
    <col min="13" max="13" width="17.85546875" customWidth="1"/>
    <col min="14" max="14" width="20.85546875" customWidth="1"/>
    <col min="18" max="18" width="33.42578125" customWidth="1"/>
    <col min="26" max="26" width="13.7109375" customWidth="1"/>
    <col min="34" max="34" width="14.28515625" customWidth="1"/>
    <col min="35" max="35" width="31.42578125" customWidth="1"/>
    <col min="36" max="36" width="42.28515625" customWidth="1"/>
    <col min="37" max="37" width="12.140625" customWidth="1"/>
    <col min="38" max="38" width="13.140625" customWidth="1"/>
    <col min="39" max="39" width="30.85546875" customWidth="1"/>
    <col min="40" max="40" width="14.28515625" customWidth="1"/>
    <col min="41" max="41" width="33.42578125" customWidth="1"/>
    <col min="43" max="43" width="33.42578125" customWidth="1"/>
    <col min="47" max="47" width="13.7109375" customWidth="1"/>
    <col min="48" max="48" width="16.85546875" customWidth="1"/>
    <col min="49" max="49" width="17.85546875" customWidth="1"/>
    <col min="52" max="52" width="18.85546875" customWidth="1"/>
    <col min="53" max="53" width="17.85546875" customWidth="1"/>
    <col min="54" max="54" width="32" customWidth="1"/>
    <col min="55" max="55" width="31" customWidth="1"/>
    <col min="58" max="58" width="37.42578125" customWidth="1"/>
    <col min="59" max="59" width="12.5703125" customWidth="1"/>
    <col min="60" max="60" width="17.85546875" customWidth="1"/>
    <col min="62" max="62" width="11.85546875" bestFit="1" customWidth="1"/>
  </cols>
  <sheetData>
    <row r="4" spans="1:63" x14ac:dyDescent="0.25">
      <c r="A4" s="8" t="s">
        <v>421</v>
      </c>
      <c r="B4" s="9" t="s">
        <v>0</v>
      </c>
      <c r="C4" s="9" t="s">
        <v>422</v>
      </c>
      <c r="D4" s="9" t="s">
        <v>1</v>
      </c>
      <c r="E4" s="10" t="s">
        <v>423</v>
      </c>
      <c r="F4" s="9" t="s">
        <v>424</v>
      </c>
      <c r="G4" s="9" t="s">
        <v>425</v>
      </c>
      <c r="H4" s="9" t="s">
        <v>2</v>
      </c>
      <c r="I4" s="9" t="s">
        <v>426</v>
      </c>
      <c r="J4" s="9" t="s">
        <v>427</v>
      </c>
      <c r="K4" s="9" t="s">
        <v>3</v>
      </c>
      <c r="L4" s="9" t="s">
        <v>4</v>
      </c>
      <c r="M4" s="10" t="s">
        <v>428</v>
      </c>
      <c r="N4" s="9" t="s">
        <v>5</v>
      </c>
      <c r="O4" s="9" t="s">
        <v>6</v>
      </c>
      <c r="P4" s="9" t="s">
        <v>429</v>
      </c>
      <c r="Q4" s="9" t="s">
        <v>430</v>
      </c>
      <c r="R4" s="9" t="s">
        <v>7</v>
      </c>
      <c r="S4" s="9" t="s">
        <v>431</v>
      </c>
      <c r="T4" s="9" t="s">
        <v>432</v>
      </c>
      <c r="U4" s="9" t="s">
        <v>433</v>
      </c>
      <c r="V4" s="9" t="s">
        <v>8</v>
      </c>
      <c r="W4" s="9" t="s">
        <v>9</v>
      </c>
      <c r="X4" s="9" t="s">
        <v>10</v>
      </c>
      <c r="Y4" s="9" t="s">
        <v>434</v>
      </c>
      <c r="Z4" s="9" t="s">
        <v>11</v>
      </c>
      <c r="AA4" s="9" t="s">
        <v>435</v>
      </c>
      <c r="AB4" s="9" t="s">
        <v>436</v>
      </c>
      <c r="AC4" s="9" t="s">
        <v>437</v>
      </c>
      <c r="AD4" s="9" t="s">
        <v>438</v>
      </c>
      <c r="AE4" s="9" t="s">
        <v>439</v>
      </c>
      <c r="AF4" s="9" t="s">
        <v>440</v>
      </c>
      <c r="AG4" s="9" t="s">
        <v>441</v>
      </c>
      <c r="AH4" s="9" t="s">
        <v>12</v>
      </c>
      <c r="AI4" s="9" t="s">
        <v>13</v>
      </c>
      <c r="AJ4" s="9" t="s">
        <v>14</v>
      </c>
      <c r="AK4" s="9" t="s">
        <v>442</v>
      </c>
      <c r="AL4" s="9" t="s">
        <v>443</v>
      </c>
      <c r="AM4" s="9" t="s">
        <v>444</v>
      </c>
      <c r="AN4" s="9" t="s">
        <v>15</v>
      </c>
      <c r="AO4" s="9" t="s">
        <v>445</v>
      </c>
      <c r="AP4" s="9" t="s">
        <v>16</v>
      </c>
      <c r="AQ4" s="9" t="s">
        <v>446</v>
      </c>
      <c r="AR4" s="9" t="s">
        <v>17</v>
      </c>
      <c r="AS4" s="9" t="s">
        <v>447</v>
      </c>
      <c r="AT4" s="9" t="s">
        <v>18</v>
      </c>
      <c r="AU4" s="9" t="s">
        <v>19</v>
      </c>
      <c r="AV4" s="10" t="s">
        <v>448</v>
      </c>
      <c r="AW4" s="10" t="s">
        <v>449</v>
      </c>
      <c r="AX4" s="9" t="s">
        <v>450</v>
      </c>
      <c r="AY4" s="9" t="s">
        <v>451</v>
      </c>
      <c r="AZ4" s="10" t="s">
        <v>452</v>
      </c>
      <c r="BA4" s="10" t="s">
        <v>453</v>
      </c>
      <c r="BB4" s="9" t="s">
        <v>20</v>
      </c>
      <c r="BC4" s="9" t="s">
        <v>21</v>
      </c>
      <c r="BD4" s="9" t="s">
        <v>22</v>
      </c>
      <c r="BE4" s="9" t="s">
        <v>454</v>
      </c>
      <c r="BF4" s="9" t="s">
        <v>23</v>
      </c>
      <c r="BG4" s="9" t="s">
        <v>455</v>
      </c>
      <c r="BH4" s="10" t="s">
        <v>456</v>
      </c>
      <c r="BI4" s="9" t="s">
        <v>457</v>
      </c>
      <c r="BJ4" s="9" t="s">
        <v>567</v>
      </c>
      <c r="BK4" s="14" t="e">
        <f>VLOOKUP(Hoja1!$B4,Hoja2!B2:B34,1,FALSE)</f>
        <v>#N/A</v>
      </c>
    </row>
    <row r="5" spans="1:63" x14ac:dyDescent="0.25">
      <c r="A5" s="15">
        <v>46300</v>
      </c>
      <c r="B5" s="16" t="s">
        <v>34</v>
      </c>
      <c r="C5" s="16">
        <v>29160908</v>
      </c>
      <c r="D5" s="16" t="s">
        <v>1</v>
      </c>
      <c r="E5" s="17">
        <v>46300</v>
      </c>
      <c r="F5" s="16" t="s">
        <v>1</v>
      </c>
      <c r="G5" s="16" t="s">
        <v>1</v>
      </c>
      <c r="H5" s="16" t="s">
        <v>35</v>
      </c>
      <c r="I5" s="16">
        <v>2524934</v>
      </c>
      <c r="J5" s="16" t="s">
        <v>1</v>
      </c>
      <c r="K5" s="16" t="s">
        <v>36</v>
      </c>
      <c r="L5" s="16" t="s">
        <v>4</v>
      </c>
      <c r="M5" s="17">
        <v>46300</v>
      </c>
      <c r="N5" s="16" t="s">
        <v>5</v>
      </c>
      <c r="O5" s="16" t="s">
        <v>6</v>
      </c>
      <c r="P5" s="16" t="s">
        <v>1</v>
      </c>
      <c r="Q5" s="16">
        <v>10</v>
      </c>
      <c r="R5" s="16" t="s">
        <v>1</v>
      </c>
      <c r="S5" s="16" t="s">
        <v>1</v>
      </c>
      <c r="T5" s="16" t="s">
        <v>1</v>
      </c>
      <c r="U5" s="16" t="s">
        <v>1</v>
      </c>
      <c r="V5" s="16" t="s">
        <v>8</v>
      </c>
      <c r="W5" s="16" t="s">
        <v>9</v>
      </c>
      <c r="X5" s="16" t="s">
        <v>10</v>
      </c>
      <c r="Y5" s="16" t="s">
        <v>1</v>
      </c>
      <c r="Z5" s="16" t="s">
        <v>11</v>
      </c>
      <c r="AA5" s="16" t="s">
        <v>1</v>
      </c>
      <c r="AB5" s="16" t="s">
        <v>1</v>
      </c>
      <c r="AC5" s="16" t="s">
        <v>1</v>
      </c>
      <c r="AD5" s="16" t="s">
        <v>1</v>
      </c>
      <c r="AE5" s="16" t="s">
        <v>1</v>
      </c>
      <c r="AF5" s="16" t="s">
        <v>1</v>
      </c>
      <c r="AG5" s="16" t="s">
        <v>1</v>
      </c>
      <c r="AH5" s="16" t="s">
        <v>12</v>
      </c>
      <c r="AI5" s="16" t="s">
        <v>37</v>
      </c>
      <c r="AJ5" s="16" t="s">
        <v>14</v>
      </c>
      <c r="AK5" s="16">
        <v>2524934</v>
      </c>
      <c r="AL5" s="16">
        <v>29160908</v>
      </c>
      <c r="AM5" s="16" t="s">
        <v>35</v>
      </c>
      <c r="AN5" s="16" t="s">
        <v>15</v>
      </c>
      <c r="AO5" s="16" t="s">
        <v>13</v>
      </c>
      <c r="AP5" s="16" t="s">
        <v>16</v>
      </c>
      <c r="AQ5" s="16" t="s">
        <v>37</v>
      </c>
      <c r="AR5" s="16" t="s">
        <v>17</v>
      </c>
      <c r="AS5" s="16" t="s">
        <v>10</v>
      </c>
      <c r="AT5" s="16" t="s">
        <v>18</v>
      </c>
      <c r="AU5" s="16" t="s">
        <v>19</v>
      </c>
      <c r="AV5" s="17">
        <v>46239</v>
      </c>
      <c r="AW5" s="17">
        <v>46239.605555555558</v>
      </c>
      <c r="AX5" s="16">
        <v>202605</v>
      </c>
      <c r="AY5" s="16">
        <v>10</v>
      </c>
      <c r="AZ5" s="17">
        <v>46300</v>
      </c>
      <c r="BA5" s="17">
        <v>46300.430254629631</v>
      </c>
      <c r="BB5" s="16" t="s">
        <v>38</v>
      </c>
      <c r="BC5" s="16" t="s">
        <v>39</v>
      </c>
      <c r="BD5" s="16" t="s">
        <v>22</v>
      </c>
      <c r="BE5" s="16">
        <v>3744</v>
      </c>
      <c r="BF5" s="16" t="s">
        <v>23</v>
      </c>
      <c r="BG5" s="16" t="s">
        <v>22</v>
      </c>
      <c r="BH5" s="16" t="s">
        <v>40</v>
      </c>
      <c r="BI5" s="16">
        <v>16182</v>
      </c>
      <c r="BJ5" s="16" t="e">
        <f>CONS</f>
        <v>#NAME?</v>
      </c>
      <c r="BK5" s="18" t="e">
        <f>VLOOKUP(Hoja1!$B5,Tabla2[[#All],[ID_TRANSACCION]],1,FALSE)</f>
        <v>#N/A</v>
      </c>
    </row>
    <row r="6" spans="1:63" x14ac:dyDescent="0.25">
      <c r="A6" s="19">
        <v>46239</v>
      </c>
      <c r="B6" s="12" t="s">
        <v>41</v>
      </c>
      <c r="C6" s="12">
        <v>29158085</v>
      </c>
      <c r="D6" s="12" t="s">
        <v>1</v>
      </c>
      <c r="E6" s="13">
        <v>46300</v>
      </c>
      <c r="F6" s="12" t="s">
        <v>1</v>
      </c>
      <c r="G6" s="12" t="s">
        <v>1</v>
      </c>
      <c r="H6" s="12" t="s">
        <v>42</v>
      </c>
      <c r="I6" s="12">
        <v>2659753</v>
      </c>
      <c r="J6" s="12" t="s">
        <v>1</v>
      </c>
      <c r="K6" s="12" t="s">
        <v>43</v>
      </c>
      <c r="L6" s="12" t="s">
        <v>29</v>
      </c>
      <c r="M6" s="13">
        <v>46239</v>
      </c>
      <c r="N6" s="12" t="s">
        <v>30</v>
      </c>
      <c r="O6" s="12" t="s">
        <v>6</v>
      </c>
      <c r="P6" s="12" t="s">
        <v>1</v>
      </c>
      <c r="Q6" s="12">
        <v>10</v>
      </c>
      <c r="R6" s="12" t="s">
        <v>44</v>
      </c>
      <c r="S6" s="12" t="s">
        <v>1</v>
      </c>
      <c r="T6" s="12" t="s">
        <v>1</v>
      </c>
      <c r="U6" s="12" t="s">
        <v>1</v>
      </c>
      <c r="V6" s="12" t="s">
        <v>8</v>
      </c>
      <c r="W6" s="12" t="s">
        <v>9</v>
      </c>
      <c r="X6" s="12" t="s">
        <v>10</v>
      </c>
      <c r="Y6" s="12" t="s">
        <v>1</v>
      </c>
      <c r="Z6" s="12" t="s">
        <v>11</v>
      </c>
      <c r="AA6" s="12" t="s">
        <v>1</v>
      </c>
      <c r="AB6" s="12" t="s">
        <v>1</v>
      </c>
      <c r="AC6" s="12" t="s">
        <v>1</v>
      </c>
      <c r="AD6" s="12" t="s">
        <v>1</v>
      </c>
      <c r="AE6" s="12" t="s">
        <v>1</v>
      </c>
      <c r="AF6" s="12" t="s">
        <v>1</v>
      </c>
      <c r="AG6" s="12" t="s">
        <v>1</v>
      </c>
      <c r="AH6" s="12" t="s">
        <v>12</v>
      </c>
      <c r="AI6" s="12" t="s">
        <v>37</v>
      </c>
      <c r="AJ6" s="12" t="s">
        <v>14</v>
      </c>
      <c r="AK6" s="12">
        <v>2659753</v>
      </c>
      <c r="AL6" s="12">
        <v>29158085</v>
      </c>
      <c r="AM6" s="12" t="s">
        <v>42</v>
      </c>
      <c r="AN6" s="12" t="s">
        <v>15</v>
      </c>
      <c r="AO6" s="12" t="s">
        <v>13</v>
      </c>
      <c r="AP6" s="12" t="s">
        <v>16</v>
      </c>
      <c r="AQ6" s="12" t="s">
        <v>37</v>
      </c>
      <c r="AR6" s="12" t="s">
        <v>17</v>
      </c>
      <c r="AS6" s="12" t="s">
        <v>10</v>
      </c>
      <c r="AT6" s="12" t="s">
        <v>31</v>
      </c>
      <c r="AU6" s="12" t="s">
        <v>19</v>
      </c>
      <c r="AV6" s="13">
        <v>46208</v>
      </c>
      <c r="AW6" s="13">
        <v>46208.807800925926</v>
      </c>
      <c r="AX6" s="12">
        <v>202605</v>
      </c>
      <c r="AY6" s="12">
        <v>8</v>
      </c>
      <c r="AZ6" s="13">
        <v>46239</v>
      </c>
      <c r="BA6" s="13">
        <v>46239.641180555554</v>
      </c>
      <c r="BB6" s="12" t="s">
        <v>45</v>
      </c>
      <c r="BC6" s="12" t="s">
        <v>46</v>
      </c>
      <c r="BD6" s="12" t="s">
        <v>22</v>
      </c>
      <c r="BE6" s="12">
        <v>3744</v>
      </c>
      <c r="BF6" s="12" t="s">
        <v>23</v>
      </c>
      <c r="BG6" s="12" t="s">
        <v>22</v>
      </c>
      <c r="BH6" s="12" t="s">
        <v>40</v>
      </c>
      <c r="BI6" s="12">
        <v>16200</v>
      </c>
      <c r="BJ6" s="12" t="e">
        <f>CONS</f>
        <v>#NAME?</v>
      </c>
      <c r="BK6" s="14" t="str">
        <f>VLOOKUP(Hoja1!$B6,Tabla2[[#All],[ID_TRANSACCION]],1,FALSE)</f>
        <v>BO_FS_202605082659753_29158085</v>
      </c>
    </row>
    <row r="7" spans="1:63" x14ac:dyDescent="0.25">
      <c r="A7" s="15">
        <v>46208</v>
      </c>
      <c r="B7" s="16" t="s">
        <v>47</v>
      </c>
      <c r="C7" s="16">
        <v>29152051</v>
      </c>
      <c r="D7" s="16" t="s">
        <v>1</v>
      </c>
      <c r="E7" s="17">
        <v>46239</v>
      </c>
      <c r="F7" s="16" t="s">
        <v>1</v>
      </c>
      <c r="G7" s="16" t="s">
        <v>1</v>
      </c>
      <c r="H7" s="16" t="s">
        <v>48</v>
      </c>
      <c r="I7" s="16">
        <v>2658950</v>
      </c>
      <c r="J7" s="16" t="s">
        <v>1</v>
      </c>
      <c r="K7" s="16" t="s">
        <v>49</v>
      </c>
      <c r="L7" s="16" t="s">
        <v>29</v>
      </c>
      <c r="M7" s="17">
        <v>46208</v>
      </c>
      <c r="N7" s="16" t="s">
        <v>30</v>
      </c>
      <c r="O7" s="16" t="s">
        <v>6</v>
      </c>
      <c r="P7" s="16" t="s">
        <v>1</v>
      </c>
      <c r="Q7" s="16">
        <v>10</v>
      </c>
      <c r="R7" s="16" t="s">
        <v>50</v>
      </c>
      <c r="S7" s="16" t="s">
        <v>1</v>
      </c>
      <c r="T7" s="16" t="s">
        <v>1</v>
      </c>
      <c r="U7" s="16" t="s">
        <v>1</v>
      </c>
      <c r="V7" s="16" t="s">
        <v>8</v>
      </c>
      <c r="W7" s="16" t="s">
        <v>9</v>
      </c>
      <c r="X7" s="16" t="s">
        <v>10</v>
      </c>
      <c r="Y7" s="16" t="s">
        <v>1</v>
      </c>
      <c r="Z7" s="16" t="s">
        <v>11</v>
      </c>
      <c r="AA7" s="16" t="s">
        <v>1</v>
      </c>
      <c r="AB7" s="16" t="s">
        <v>1</v>
      </c>
      <c r="AC7" s="16" t="s">
        <v>1</v>
      </c>
      <c r="AD7" s="16" t="s">
        <v>1</v>
      </c>
      <c r="AE7" s="16" t="s">
        <v>1</v>
      </c>
      <c r="AF7" s="16" t="s">
        <v>1</v>
      </c>
      <c r="AG7" s="16" t="s">
        <v>1</v>
      </c>
      <c r="AH7" s="16" t="s">
        <v>12</v>
      </c>
      <c r="AI7" s="16" t="s">
        <v>37</v>
      </c>
      <c r="AJ7" s="16" t="s">
        <v>14</v>
      </c>
      <c r="AK7" s="16">
        <v>2658950</v>
      </c>
      <c r="AL7" s="16">
        <v>29152051</v>
      </c>
      <c r="AM7" s="16" t="s">
        <v>51</v>
      </c>
      <c r="AN7" s="16" t="s">
        <v>15</v>
      </c>
      <c r="AO7" s="16" t="s">
        <v>13</v>
      </c>
      <c r="AP7" s="16" t="s">
        <v>16</v>
      </c>
      <c r="AQ7" s="16" t="s">
        <v>37</v>
      </c>
      <c r="AR7" s="16" t="s">
        <v>17</v>
      </c>
      <c r="AS7" s="16" t="s">
        <v>10</v>
      </c>
      <c r="AT7" s="16" t="s">
        <v>31</v>
      </c>
      <c r="AU7" s="16" t="s">
        <v>19</v>
      </c>
      <c r="AV7" s="17">
        <v>46178</v>
      </c>
      <c r="AW7" s="17">
        <v>46178.660740740743</v>
      </c>
      <c r="AX7" s="16">
        <v>202605</v>
      </c>
      <c r="AY7" s="16">
        <v>7</v>
      </c>
      <c r="AZ7" s="17">
        <v>46208</v>
      </c>
      <c r="BA7" s="17">
        <v>46208.637685185182</v>
      </c>
      <c r="BB7" s="16" t="s">
        <v>52</v>
      </c>
      <c r="BC7" s="16" t="s">
        <v>53</v>
      </c>
      <c r="BD7" s="16" t="s">
        <v>22</v>
      </c>
      <c r="BE7" s="16">
        <v>3744</v>
      </c>
      <c r="BF7" s="16" t="s">
        <v>23</v>
      </c>
      <c r="BG7" s="16" t="s">
        <v>22</v>
      </c>
      <c r="BH7" s="16" t="s">
        <v>40</v>
      </c>
      <c r="BI7" s="16">
        <v>16224</v>
      </c>
      <c r="BJ7" s="16" t="e">
        <f>CONS</f>
        <v>#NAME?</v>
      </c>
      <c r="BK7" s="18" t="str">
        <f>VLOOKUP(Hoja1!$B7,Tabla2[[#All],[ID_TRANSACCION]],1,FALSE)</f>
        <v>BO_FS_202605072658950_29152051</v>
      </c>
    </row>
    <row r="8" spans="1:63" x14ac:dyDescent="0.25">
      <c r="A8" s="11" t="s">
        <v>54</v>
      </c>
      <c r="B8" s="12" t="s">
        <v>55</v>
      </c>
      <c r="C8" s="12">
        <v>29100462</v>
      </c>
      <c r="D8" s="12" t="s">
        <v>1</v>
      </c>
      <c r="E8" s="12" t="s">
        <v>54</v>
      </c>
      <c r="F8" s="12" t="s">
        <v>1</v>
      </c>
      <c r="G8" s="12" t="s">
        <v>1</v>
      </c>
      <c r="H8" s="12" t="s">
        <v>56</v>
      </c>
      <c r="I8" s="12">
        <v>2654827</v>
      </c>
      <c r="J8" s="12" t="s">
        <v>1</v>
      </c>
      <c r="K8" s="12" t="s">
        <v>57</v>
      </c>
      <c r="L8" s="12" t="s">
        <v>29</v>
      </c>
      <c r="M8" s="12" t="s">
        <v>54</v>
      </c>
      <c r="N8" s="12" t="s">
        <v>30</v>
      </c>
      <c r="O8" s="12" t="s">
        <v>6</v>
      </c>
      <c r="P8" s="12" t="s">
        <v>1</v>
      </c>
      <c r="Q8" s="12">
        <v>10</v>
      </c>
      <c r="R8" s="12" t="s">
        <v>58</v>
      </c>
      <c r="S8" s="12" t="s">
        <v>1</v>
      </c>
      <c r="T8" s="12" t="s">
        <v>1</v>
      </c>
      <c r="U8" s="12" t="s">
        <v>1</v>
      </c>
      <c r="V8" s="12" t="s">
        <v>8</v>
      </c>
      <c r="W8" s="12" t="s">
        <v>9</v>
      </c>
      <c r="X8" s="12" t="s">
        <v>10</v>
      </c>
      <c r="Y8" s="12" t="s">
        <v>1</v>
      </c>
      <c r="Z8" s="12" t="s">
        <v>11</v>
      </c>
      <c r="AA8" s="12" t="s">
        <v>1</v>
      </c>
      <c r="AB8" s="12" t="s">
        <v>1</v>
      </c>
      <c r="AC8" s="12" t="s">
        <v>1</v>
      </c>
      <c r="AD8" s="12" t="s">
        <v>1</v>
      </c>
      <c r="AE8" s="12" t="s">
        <v>1</v>
      </c>
      <c r="AF8" s="12" t="s">
        <v>1</v>
      </c>
      <c r="AG8" s="12" t="s">
        <v>1</v>
      </c>
      <c r="AH8" s="12" t="s">
        <v>12</v>
      </c>
      <c r="AI8" s="12" t="s">
        <v>37</v>
      </c>
      <c r="AJ8" s="12" t="s">
        <v>14</v>
      </c>
      <c r="AK8" s="12">
        <v>2654827</v>
      </c>
      <c r="AL8" s="12">
        <v>29100462</v>
      </c>
      <c r="AM8" s="12" t="s">
        <v>56</v>
      </c>
      <c r="AN8" s="12" t="s">
        <v>15</v>
      </c>
      <c r="AO8" s="12" t="s">
        <v>13</v>
      </c>
      <c r="AP8" s="12" t="s">
        <v>16</v>
      </c>
      <c r="AQ8" s="12" t="s">
        <v>37</v>
      </c>
      <c r="AR8" s="12" t="s">
        <v>17</v>
      </c>
      <c r="AS8" s="12" t="s">
        <v>10</v>
      </c>
      <c r="AT8" s="12" t="s">
        <v>31</v>
      </c>
      <c r="AU8" s="12" t="s">
        <v>19</v>
      </c>
      <c r="AV8" s="12" t="s">
        <v>59</v>
      </c>
      <c r="AW8" s="12" t="s">
        <v>60</v>
      </c>
      <c r="AX8" s="12">
        <v>202604</v>
      </c>
      <c r="AY8" s="12">
        <v>30</v>
      </c>
      <c r="AZ8" s="12" t="s">
        <v>54</v>
      </c>
      <c r="BA8" s="12" t="s">
        <v>61</v>
      </c>
      <c r="BB8" s="12" t="s">
        <v>62</v>
      </c>
      <c r="BC8" s="12" t="s">
        <v>63</v>
      </c>
      <c r="BD8" s="12" t="s">
        <v>22</v>
      </c>
      <c r="BE8" s="12">
        <v>3744</v>
      </c>
      <c r="BF8" s="12" t="s">
        <v>23</v>
      </c>
      <c r="BG8" s="12" t="s">
        <v>22</v>
      </c>
      <c r="BH8" s="12" t="s">
        <v>40</v>
      </c>
      <c r="BI8" s="12">
        <v>16277</v>
      </c>
      <c r="BJ8" s="12" t="e">
        <f>CONS</f>
        <v>#NAME?</v>
      </c>
      <c r="BK8" s="14" t="e">
        <f>VLOOKUP(Hoja1!$B8,Tabla2[[#All],[ID_TRANSACCION]],1,FALSE)</f>
        <v>#N/A</v>
      </c>
    </row>
    <row r="9" spans="1:63" x14ac:dyDescent="0.25">
      <c r="A9" s="20" t="s">
        <v>64</v>
      </c>
      <c r="B9" s="16" t="s">
        <v>65</v>
      </c>
      <c r="C9" s="16">
        <v>29100312</v>
      </c>
      <c r="D9" s="16" t="s">
        <v>1</v>
      </c>
      <c r="E9" s="16" t="s">
        <v>54</v>
      </c>
      <c r="F9" s="16" t="s">
        <v>1</v>
      </c>
      <c r="G9" s="16" t="s">
        <v>1</v>
      </c>
      <c r="H9" s="16" t="s">
        <v>66</v>
      </c>
      <c r="I9" s="16">
        <v>2654801</v>
      </c>
      <c r="J9" s="16" t="s">
        <v>1</v>
      </c>
      <c r="K9" s="16" t="s">
        <v>67</v>
      </c>
      <c r="L9" s="16" t="s">
        <v>29</v>
      </c>
      <c r="M9" s="16" t="s">
        <v>64</v>
      </c>
      <c r="N9" s="16" t="s">
        <v>30</v>
      </c>
      <c r="O9" s="16" t="s">
        <v>6</v>
      </c>
      <c r="P9" s="16" t="s">
        <v>1</v>
      </c>
      <c r="Q9" s="16">
        <v>9</v>
      </c>
      <c r="R9" s="16" t="s">
        <v>68</v>
      </c>
      <c r="S9" s="16" t="s">
        <v>1</v>
      </c>
      <c r="T9" s="16" t="s">
        <v>1</v>
      </c>
      <c r="U9" s="16" t="s">
        <v>1</v>
      </c>
      <c r="V9" s="16" t="s">
        <v>8</v>
      </c>
      <c r="W9" s="16" t="s">
        <v>9</v>
      </c>
      <c r="X9" s="16" t="s">
        <v>10</v>
      </c>
      <c r="Y9" s="16" t="s">
        <v>1</v>
      </c>
      <c r="Z9" s="16" t="s">
        <v>11</v>
      </c>
      <c r="AA9" s="16" t="s">
        <v>1</v>
      </c>
      <c r="AB9" s="16" t="s">
        <v>1</v>
      </c>
      <c r="AC9" s="16" t="s">
        <v>1</v>
      </c>
      <c r="AD9" s="16" t="s">
        <v>1</v>
      </c>
      <c r="AE9" s="16" t="s">
        <v>1</v>
      </c>
      <c r="AF9" s="16" t="s">
        <v>1</v>
      </c>
      <c r="AG9" s="16" t="s">
        <v>1</v>
      </c>
      <c r="AH9" s="16" t="s">
        <v>12</v>
      </c>
      <c r="AI9" s="16" t="s">
        <v>37</v>
      </c>
      <c r="AJ9" s="16" t="s">
        <v>14</v>
      </c>
      <c r="AK9" s="16">
        <v>2654801</v>
      </c>
      <c r="AL9" s="16">
        <v>29100312</v>
      </c>
      <c r="AM9" s="16" t="s">
        <v>66</v>
      </c>
      <c r="AN9" s="16" t="s">
        <v>15</v>
      </c>
      <c r="AO9" s="16" t="s">
        <v>13</v>
      </c>
      <c r="AP9" s="16" t="s">
        <v>16</v>
      </c>
      <c r="AQ9" s="16" t="s">
        <v>37</v>
      </c>
      <c r="AR9" s="16" t="s">
        <v>17</v>
      </c>
      <c r="AS9" s="16" t="s">
        <v>10</v>
      </c>
      <c r="AT9" s="16" t="s">
        <v>31</v>
      </c>
      <c r="AU9" s="16" t="s">
        <v>19</v>
      </c>
      <c r="AV9" s="16" t="s">
        <v>59</v>
      </c>
      <c r="AW9" s="16" t="s">
        <v>69</v>
      </c>
      <c r="AX9" s="16">
        <v>202604</v>
      </c>
      <c r="AY9" s="16">
        <v>29</v>
      </c>
      <c r="AZ9" s="16" t="s">
        <v>64</v>
      </c>
      <c r="BA9" s="16" t="s">
        <v>70</v>
      </c>
      <c r="BB9" s="16" t="s">
        <v>71</v>
      </c>
      <c r="BC9" s="16" t="s">
        <v>72</v>
      </c>
      <c r="BD9" s="16" t="s">
        <v>22</v>
      </c>
      <c r="BE9" s="16">
        <v>3744</v>
      </c>
      <c r="BF9" s="16" t="s">
        <v>23</v>
      </c>
      <c r="BG9" s="16" t="s">
        <v>22</v>
      </c>
      <c r="BH9" s="16" t="s">
        <v>40</v>
      </c>
      <c r="BI9" s="16">
        <v>16278</v>
      </c>
      <c r="BJ9" s="16" t="e">
        <f>CONS</f>
        <v>#NAME?</v>
      </c>
      <c r="BK9" s="18" t="e">
        <f>VLOOKUP(Hoja1!$B9,Tabla2[[#All],[ID_TRANSACCION]],1,FALSE)</f>
        <v>#N/A</v>
      </c>
    </row>
    <row r="10" spans="1:63" x14ac:dyDescent="0.25">
      <c r="A10" s="11" t="s">
        <v>64</v>
      </c>
      <c r="B10" s="12" t="s">
        <v>73</v>
      </c>
      <c r="C10" s="12">
        <v>29103341</v>
      </c>
      <c r="D10" s="12" t="s">
        <v>1</v>
      </c>
      <c r="E10" s="12" t="s">
        <v>54</v>
      </c>
      <c r="F10" s="12" t="s">
        <v>1</v>
      </c>
      <c r="G10" s="12" t="s">
        <v>1</v>
      </c>
      <c r="H10" s="12" t="s">
        <v>74</v>
      </c>
      <c r="I10" s="12">
        <v>2655091</v>
      </c>
      <c r="J10" s="12" t="s">
        <v>1</v>
      </c>
      <c r="K10" s="12" t="s">
        <v>75</v>
      </c>
      <c r="L10" s="12" t="s">
        <v>29</v>
      </c>
      <c r="M10" s="12" t="s">
        <v>64</v>
      </c>
      <c r="N10" s="12" t="s">
        <v>30</v>
      </c>
      <c r="O10" s="12" t="s">
        <v>6</v>
      </c>
      <c r="P10" s="12" t="s">
        <v>1</v>
      </c>
      <c r="Q10" s="12">
        <v>10</v>
      </c>
      <c r="R10" s="12" t="s">
        <v>76</v>
      </c>
      <c r="S10" s="12" t="s">
        <v>1</v>
      </c>
      <c r="T10" s="12" t="s">
        <v>1</v>
      </c>
      <c r="U10" s="12" t="s">
        <v>1</v>
      </c>
      <c r="V10" s="12" t="s">
        <v>8</v>
      </c>
      <c r="W10" s="12" t="s">
        <v>9</v>
      </c>
      <c r="X10" s="12" t="s">
        <v>10</v>
      </c>
      <c r="Y10" s="12" t="s">
        <v>1</v>
      </c>
      <c r="Z10" s="12" t="s">
        <v>11</v>
      </c>
      <c r="AA10" s="12" t="s">
        <v>1</v>
      </c>
      <c r="AB10" s="12" t="s">
        <v>1</v>
      </c>
      <c r="AC10" s="12" t="s">
        <v>1</v>
      </c>
      <c r="AD10" s="12" t="s">
        <v>1</v>
      </c>
      <c r="AE10" s="12" t="s">
        <v>1</v>
      </c>
      <c r="AF10" s="12" t="s">
        <v>1</v>
      </c>
      <c r="AG10" s="12" t="s">
        <v>1</v>
      </c>
      <c r="AH10" s="12" t="s">
        <v>12</v>
      </c>
      <c r="AI10" s="12" t="s">
        <v>37</v>
      </c>
      <c r="AJ10" s="12" t="s">
        <v>14</v>
      </c>
      <c r="AK10" s="12">
        <v>2655091</v>
      </c>
      <c r="AL10" s="12">
        <v>29103341</v>
      </c>
      <c r="AM10" s="12" t="s">
        <v>74</v>
      </c>
      <c r="AN10" s="12" t="s">
        <v>15</v>
      </c>
      <c r="AO10" s="12" t="s">
        <v>13</v>
      </c>
      <c r="AP10" s="12" t="s">
        <v>16</v>
      </c>
      <c r="AQ10" s="12" t="s">
        <v>37</v>
      </c>
      <c r="AR10" s="12" t="s">
        <v>17</v>
      </c>
      <c r="AS10" s="12" t="s">
        <v>10</v>
      </c>
      <c r="AT10" s="12" t="s">
        <v>31</v>
      </c>
      <c r="AU10" s="12" t="s">
        <v>19</v>
      </c>
      <c r="AV10" s="12" t="s">
        <v>64</v>
      </c>
      <c r="AW10" s="12" t="s">
        <v>77</v>
      </c>
      <c r="AX10" s="12">
        <v>202604</v>
      </c>
      <c r="AY10" s="12">
        <v>29</v>
      </c>
      <c r="AZ10" s="12" t="s">
        <v>64</v>
      </c>
      <c r="BA10" s="12" t="s">
        <v>78</v>
      </c>
      <c r="BB10" s="12" t="s">
        <v>79</v>
      </c>
      <c r="BC10" s="12" t="s">
        <v>80</v>
      </c>
      <c r="BD10" s="12" t="s">
        <v>22</v>
      </c>
      <c r="BE10" s="12">
        <v>3744</v>
      </c>
      <c r="BF10" s="12" t="s">
        <v>23</v>
      </c>
      <c r="BG10" s="12" t="s">
        <v>22</v>
      </c>
      <c r="BH10" s="12" t="s">
        <v>40</v>
      </c>
      <c r="BI10" s="12">
        <v>16279</v>
      </c>
      <c r="BJ10" s="12" t="e">
        <f>CONS</f>
        <v>#NAME?</v>
      </c>
      <c r="BK10" s="14" t="e">
        <f>VLOOKUP(Hoja1!$B10,Tabla2[[#All],[ID_TRANSACCION]],1,FALSE)</f>
        <v>#N/A</v>
      </c>
    </row>
    <row r="11" spans="1:63" x14ac:dyDescent="0.25">
      <c r="A11" s="20" t="s">
        <v>81</v>
      </c>
      <c r="B11" s="16" t="s">
        <v>82</v>
      </c>
      <c r="C11" s="16">
        <v>28970298</v>
      </c>
      <c r="D11" s="16" t="s">
        <v>1</v>
      </c>
      <c r="E11" s="16" t="s">
        <v>81</v>
      </c>
      <c r="F11" s="16" t="s">
        <v>1</v>
      </c>
      <c r="G11" s="16" t="s">
        <v>1</v>
      </c>
      <c r="H11" s="16" t="s">
        <v>83</v>
      </c>
      <c r="I11" s="16">
        <v>2652458</v>
      </c>
      <c r="J11" s="16" t="s">
        <v>1</v>
      </c>
      <c r="K11" s="16" t="s">
        <v>84</v>
      </c>
      <c r="L11" s="16" t="s">
        <v>29</v>
      </c>
      <c r="M11" s="16" t="s">
        <v>81</v>
      </c>
      <c r="N11" s="16" t="s">
        <v>30</v>
      </c>
      <c r="O11" s="16" t="s">
        <v>6</v>
      </c>
      <c r="P11" s="16" t="s">
        <v>1</v>
      </c>
      <c r="Q11" s="16">
        <v>9</v>
      </c>
      <c r="R11" s="16" t="s">
        <v>85</v>
      </c>
      <c r="S11" s="16" t="s">
        <v>1</v>
      </c>
      <c r="T11" s="16" t="s">
        <v>1</v>
      </c>
      <c r="U11" s="16" t="s">
        <v>1</v>
      </c>
      <c r="V11" s="16" t="s">
        <v>8</v>
      </c>
      <c r="W11" s="16" t="s">
        <v>9</v>
      </c>
      <c r="X11" s="16" t="s">
        <v>10</v>
      </c>
      <c r="Y11" s="16" t="s">
        <v>1</v>
      </c>
      <c r="Z11" s="16" t="s">
        <v>11</v>
      </c>
      <c r="AA11" s="16" t="s">
        <v>1</v>
      </c>
      <c r="AB11" s="16" t="s">
        <v>1</v>
      </c>
      <c r="AC11" s="16" t="s">
        <v>1</v>
      </c>
      <c r="AD11" s="16" t="s">
        <v>1</v>
      </c>
      <c r="AE11" s="16" t="s">
        <v>1</v>
      </c>
      <c r="AF11" s="16" t="s">
        <v>1</v>
      </c>
      <c r="AG11" s="16" t="s">
        <v>1</v>
      </c>
      <c r="AH11" s="16" t="s">
        <v>12</v>
      </c>
      <c r="AI11" s="16" t="s">
        <v>37</v>
      </c>
      <c r="AJ11" s="16" t="s">
        <v>14</v>
      </c>
      <c r="AK11" s="16">
        <v>2652458</v>
      </c>
      <c r="AL11" s="16">
        <v>28970298</v>
      </c>
      <c r="AM11" s="16" t="s">
        <v>86</v>
      </c>
      <c r="AN11" s="16" t="s">
        <v>15</v>
      </c>
      <c r="AO11" s="16" t="s">
        <v>13</v>
      </c>
      <c r="AP11" s="16" t="s">
        <v>16</v>
      </c>
      <c r="AQ11" s="16" t="s">
        <v>37</v>
      </c>
      <c r="AR11" s="16" t="s">
        <v>17</v>
      </c>
      <c r="AS11" s="16" t="s">
        <v>10</v>
      </c>
      <c r="AT11" s="16" t="s">
        <v>31</v>
      </c>
      <c r="AU11" s="16" t="s">
        <v>19</v>
      </c>
      <c r="AV11" s="16" t="s">
        <v>87</v>
      </c>
      <c r="AW11" s="16" t="s">
        <v>88</v>
      </c>
      <c r="AX11" s="16">
        <v>202604</v>
      </c>
      <c r="AY11" s="16">
        <v>24</v>
      </c>
      <c r="AZ11" s="16" t="s">
        <v>81</v>
      </c>
      <c r="BA11" s="16" t="s">
        <v>89</v>
      </c>
      <c r="BB11" s="16" t="s">
        <v>90</v>
      </c>
      <c r="BC11" s="16" t="s">
        <v>91</v>
      </c>
      <c r="BD11" s="16" t="s">
        <v>22</v>
      </c>
      <c r="BE11" s="16">
        <v>3744</v>
      </c>
      <c r="BF11" s="16" t="s">
        <v>23</v>
      </c>
      <c r="BG11" s="16" t="s">
        <v>22</v>
      </c>
      <c r="BH11" s="16" t="s">
        <v>40</v>
      </c>
      <c r="BI11" s="16">
        <v>16328</v>
      </c>
      <c r="BJ11" s="16" t="e">
        <f>CONS</f>
        <v>#NAME?</v>
      </c>
      <c r="BK11" s="18" t="e">
        <f>VLOOKUP(Hoja1!$B11,Tabla2[[#All],[ID_TRANSACCION]],1,FALSE)</f>
        <v>#N/A</v>
      </c>
    </row>
    <row r="12" spans="1:63" x14ac:dyDescent="0.25">
      <c r="A12" s="11" t="s">
        <v>81</v>
      </c>
      <c r="B12" s="12" t="s">
        <v>92</v>
      </c>
      <c r="C12" s="12">
        <v>28904211</v>
      </c>
      <c r="D12" s="12" t="s">
        <v>1</v>
      </c>
      <c r="E12" s="12" t="s">
        <v>81</v>
      </c>
      <c r="F12" s="12" t="s">
        <v>1</v>
      </c>
      <c r="G12" s="12" t="s">
        <v>1</v>
      </c>
      <c r="H12" s="12" t="s">
        <v>93</v>
      </c>
      <c r="I12" s="12">
        <v>2652001</v>
      </c>
      <c r="J12" s="12" t="s">
        <v>1</v>
      </c>
      <c r="K12" s="12" t="s">
        <v>94</v>
      </c>
      <c r="L12" s="12" t="s">
        <v>29</v>
      </c>
      <c r="M12" s="12" t="s">
        <v>81</v>
      </c>
      <c r="N12" s="12" t="s">
        <v>30</v>
      </c>
      <c r="O12" s="12" t="s">
        <v>6</v>
      </c>
      <c r="P12" s="12" t="s">
        <v>1</v>
      </c>
      <c r="Q12" s="12">
        <v>10</v>
      </c>
      <c r="R12" s="12" t="s">
        <v>95</v>
      </c>
      <c r="S12" s="12" t="s">
        <v>1</v>
      </c>
      <c r="T12" s="12" t="s">
        <v>1</v>
      </c>
      <c r="U12" s="12" t="s">
        <v>1</v>
      </c>
      <c r="V12" s="12" t="s">
        <v>8</v>
      </c>
      <c r="W12" s="12" t="s">
        <v>9</v>
      </c>
      <c r="X12" s="12" t="s">
        <v>10</v>
      </c>
      <c r="Y12" s="12" t="s">
        <v>1</v>
      </c>
      <c r="Z12" s="12" t="s">
        <v>11</v>
      </c>
      <c r="AA12" s="12" t="s">
        <v>1</v>
      </c>
      <c r="AB12" s="12" t="s">
        <v>1</v>
      </c>
      <c r="AC12" s="12" t="s">
        <v>1</v>
      </c>
      <c r="AD12" s="12" t="s">
        <v>1</v>
      </c>
      <c r="AE12" s="12" t="s">
        <v>1</v>
      </c>
      <c r="AF12" s="12" t="s">
        <v>1</v>
      </c>
      <c r="AG12" s="12" t="s">
        <v>1</v>
      </c>
      <c r="AH12" s="12" t="s">
        <v>12</v>
      </c>
      <c r="AI12" s="12" t="s">
        <v>37</v>
      </c>
      <c r="AJ12" s="12" t="s">
        <v>14</v>
      </c>
      <c r="AK12" s="12">
        <v>2652001</v>
      </c>
      <c r="AL12" s="12">
        <v>28904211</v>
      </c>
      <c r="AM12" s="12" t="s">
        <v>93</v>
      </c>
      <c r="AN12" s="12" t="s">
        <v>15</v>
      </c>
      <c r="AO12" s="12" t="s">
        <v>13</v>
      </c>
      <c r="AP12" s="12" t="s">
        <v>16</v>
      </c>
      <c r="AQ12" s="12" t="s">
        <v>37</v>
      </c>
      <c r="AR12" s="12" t="s">
        <v>17</v>
      </c>
      <c r="AS12" s="12" t="s">
        <v>10</v>
      </c>
      <c r="AT12" s="12" t="s">
        <v>31</v>
      </c>
      <c r="AU12" s="12" t="s">
        <v>19</v>
      </c>
      <c r="AV12" s="12" t="s">
        <v>96</v>
      </c>
      <c r="AW12" s="12" t="s">
        <v>97</v>
      </c>
      <c r="AX12" s="12">
        <v>202604</v>
      </c>
      <c r="AY12" s="12">
        <v>24</v>
      </c>
      <c r="AZ12" s="12" t="s">
        <v>81</v>
      </c>
      <c r="BA12" s="12" t="s">
        <v>98</v>
      </c>
      <c r="BB12" s="12" t="s">
        <v>99</v>
      </c>
      <c r="BC12" s="12" t="s">
        <v>100</v>
      </c>
      <c r="BD12" s="12" t="s">
        <v>22</v>
      </c>
      <c r="BE12" s="12">
        <v>3744</v>
      </c>
      <c r="BF12" s="12" t="s">
        <v>23</v>
      </c>
      <c r="BG12" s="12" t="s">
        <v>22</v>
      </c>
      <c r="BH12" s="12" t="s">
        <v>40</v>
      </c>
      <c r="BI12" s="12">
        <v>16329</v>
      </c>
      <c r="BJ12" s="12" t="e">
        <f>CONS</f>
        <v>#NAME?</v>
      </c>
      <c r="BK12" s="14" t="e">
        <f>VLOOKUP(Hoja1!$B12,Tabla2[[#All],[ID_TRANSACCION]],1,FALSE)</f>
        <v>#N/A</v>
      </c>
    </row>
    <row r="13" spans="1:63" x14ac:dyDescent="0.25">
      <c r="A13" s="20" t="s">
        <v>81</v>
      </c>
      <c r="B13" s="16" t="s">
        <v>101</v>
      </c>
      <c r="C13" s="16">
        <v>28970435</v>
      </c>
      <c r="D13" s="16" t="s">
        <v>1</v>
      </c>
      <c r="E13" s="16" t="s">
        <v>81</v>
      </c>
      <c r="F13" s="16" t="s">
        <v>1</v>
      </c>
      <c r="G13" s="16" t="s">
        <v>1</v>
      </c>
      <c r="H13" s="16" t="s">
        <v>102</v>
      </c>
      <c r="I13" s="16">
        <v>2652480</v>
      </c>
      <c r="J13" s="16" t="s">
        <v>1</v>
      </c>
      <c r="K13" s="16" t="s">
        <v>103</v>
      </c>
      <c r="L13" s="16" t="s">
        <v>29</v>
      </c>
      <c r="M13" s="16" t="s">
        <v>81</v>
      </c>
      <c r="N13" s="16" t="s">
        <v>30</v>
      </c>
      <c r="O13" s="16" t="s">
        <v>104</v>
      </c>
      <c r="P13" s="16" t="s">
        <v>1</v>
      </c>
      <c r="Q13" s="16">
        <v>10</v>
      </c>
      <c r="R13" s="16" t="s">
        <v>105</v>
      </c>
      <c r="S13" s="16" t="s">
        <v>1</v>
      </c>
      <c r="T13" s="16" t="s">
        <v>1</v>
      </c>
      <c r="U13" s="16" t="s">
        <v>1</v>
      </c>
      <c r="V13" s="16" t="s">
        <v>8</v>
      </c>
      <c r="W13" s="16" t="s">
        <v>9</v>
      </c>
      <c r="X13" s="16" t="s">
        <v>10</v>
      </c>
      <c r="Y13" s="16" t="s">
        <v>1</v>
      </c>
      <c r="Z13" s="16" t="s">
        <v>11</v>
      </c>
      <c r="AA13" s="16" t="s">
        <v>1</v>
      </c>
      <c r="AB13" s="16" t="s">
        <v>1</v>
      </c>
      <c r="AC13" s="16" t="s">
        <v>1</v>
      </c>
      <c r="AD13" s="16" t="s">
        <v>1</v>
      </c>
      <c r="AE13" s="16" t="s">
        <v>1</v>
      </c>
      <c r="AF13" s="16" t="s">
        <v>1</v>
      </c>
      <c r="AG13" s="16" t="s">
        <v>1</v>
      </c>
      <c r="AH13" s="16" t="s">
        <v>12</v>
      </c>
      <c r="AI13" s="16" t="s">
        <v>37</v>
      </c>
      <c r="AJ13" s="16" t="s">
        <v>14</v>
      </c>
      <c r="AK13" s="16">
        <v>2652480</v>
      </c>
      <c r="AL13" s="16">
        <v>28970435</v>
      </c>
      <c r="AM13" s="16" t="s">
        <v>102</v>
      </c>
      <c r="AN13" s="16" t="s">
        <v>15</v>
      </c>
      <c r="AO13" s="16" t="s">
        <v>13</v>
      </c>
      <c r="AP13" s="16" t="s">
        <v>16</v>
      </c>
      <c r="AQ13" s="16" t="s">
        <v>37</v>
      </c>
      <c r="AR13" s="16" t="s">
        <v>17</v>
      </c>
      <c r="AS13" s="16" t="s">
        <v>10</v>
      </c>
      <c r="AT13" s="16" t="s">
        <v>31</v>
      </c>
      <c r="AU13" s="16" t="s">
        <v>19</v>
      </c>
      <c r="AV13" s="16" t="s">
        <v>87</v>
      </c>
      <c r="AW13" s="16" t="s">
        <v>106</v>
      </c>
      <c r="AX13" s="16">
        <v>202604</v>
      </c>
      <c r="AY13" s="16">
        <v>24</v>
      </c>
      <c r="AZ13" s="16" t="s">
        <v>81</v>
      </c>
      <c r="BA13" s="16" t="s">
        <v>107</v>
      </c>
      <c r="BB13" s="16" t="s">
        <v>108</v>
      </c>
      <c r="BC13" s="16" t="s">
        <v>109</v>
      </c>
      <c r="BD13" s="16" t="s">
        <v>22</v>
      </c>
      <c r="BE13" s="16">
        <v>3744</v>
      </c>
      <c r="BF13" s="16" t="s">
        <v>23</v>
      </c>
      <c r="BG13" s="16" t="s">
        <v>22</v>
      </c>
      <c r="BH13" s="16" t="s">
        <v>40</v>
      </c>
      <c r="BI13" s="16">
        <v>16330</v>
      </c>
      <c r="BJ13" s="16" t="e">
        <f>CONS</f>
        <v>#NAME?</v>
      </c>
      <c r="BK13" s="18" t="e">
        <f>VLOOKUP(Hoja1!$B13,Tabla2[[#All],[ID_TRANSACCION]],1,FALSE)</f>
        <v>#N/A</v>
      </c>
    </row>
    <row r="14" spans="1:63" x14ac:dyDescent="0.25">
      <c r="A14" s="11" t="s">
        <v>87</v>
      </c>
      <c r="B14" s="12" t="s">
        <v>110</v>
      </c>
      <c r="C14" s="12">
        <v>28898303</v>
      </c>
      <c r="D14" s="12" t="s">
        <v>1</v>
      </c>
      <c r="E14" s="12" t="s">
        <v>81</v>
      </c>
      <c r="F14" s="12" t="s">
        <v>1</v>
      </c>
      <c r="G14" s="12" t="s">
        <v>1</v>
      </c>
      <c r="H14" s="12" t="s">
        <v>111</v>
      </c>
      <c r="I14" s="12">
        <v>2651124</v>
      </c>
      <c r="J14" s="12" t="s">
        <v>1</v>
      </c>
      <c r="K14" s="12" t="s">
        <v>112</v>
      </c>
      <c r="L14" s="12" t="s">
        <v>29</v>
      </c>
      <c r="M14" s="12" t="s">
        <v>87</v>
      </c>
      <c r="N14" s="12" t="s">
        <v>30</v>
      </c>
      <c r="O14" s="12" t="s">
        <v>6</v>
      </c>
      <c r="P14" s="12" t="s">
        <v>1</v>
      </c>
      <c r="Q14" s="12">
        <v>9</v>
      </c>
      <c r="R14" s="12" t="s">
        <v>1</v>
      </c>
      <c r="S14" s="12" t="s">
        <v>1</v>
      </c>
      <c r="T14" s="12" t="s">
        <v>1</v>
      </c>
      <c r="U14" s="12" t="s">
        <v>1</v>
      </c>
      <c r="V14" s="12" t="s">
        <v>8</v>
      </c>
      <c r="W14" s="12" t="s">
        <v>9</v>
      </c>
      <c r="X14" s="12" t="s">
        <v>10</v>
      </c>
      <c r="Y14" s="12" t="s">
        <v>1</v>
      </c>
      <c r="Z14" s="12" t="s">
        <v>11</v>
      </c>
      <c r="AA14" s="12" t="s">
        <v>1</v>
      </c>
      <c r="AB14" s="12" t="s">
        <v>1</v>
      </c>
      <c r="AC14" s="12" t="s">
        <v>1</v>
      </c>
      <c r="AD14" s="12" t="s">
        <v>1</v>
      </c>
      <c r="AE14" s="12" t="s">
        <v>1</v>
      </c>
      <c r="AF14" s="12" t="s">
        <v>1</v>
      </c>
      <c r="AG14" s="12" t="s">
        <v>1</v>
      </c>
      <c r="AH14" s="12" t="s">
        <v>12</v>
      </c>
      <c r="AI14" s="12" t="s">
        <v>37</v>
      </c>
      <c r="AJ14" s="12" t="s">
        <v>14</v>
      </c>
      <c r="AK14" s="12">
        <v>2651124</v>
      </c>
      <c r="AL14" s="12">
        <v>28898303</v>
      </c>
      <c r="AM14" s="12" t="s">
        <v>111</v>
      </c>
      <c r="AN14" s="12" t="s">
        <v>15</v>
      </c>
      <c r="AO14" s="12" t="s">
        <v>13</v>
      </c>
      <c r="AP14" s="12" t="s">
        <v>16</v>
      </c>
      <c r="AQ14" s="12" t="s">
        <v>37</v>
      </c>
      <c r="AR14" s="12" t="s">
        <v>17</v>
      </c>
      <c r="AS14" s="12" t="s">
        <v>10</v>
      </c>
      <c r="AT14" s="12" t="s">
        <v>31</v>
      </c>
      <c r="AU14" s="12" t="s">
        <v>19</v>
      </c>
      <c r="AV14" s="12" t="s">
        <v>87</v>
      </c>
      <c r="AW14" s="12" t="s">
        <v>113</v>
      </c>
      <c r="AX14" s="12">
        <v>202604</v>
      </c>
      <c r="AY14" s="12">
        <v>23</v>
      </c>
      <c r="AZ14" s="12" t="s">
        <v>87</v>
      </c>
      <c r="BA14" s="12" t="s">
        <v>114</v>
      </c>
      <c r="BB14" s="12" t="s">
        <v>115</v>
      </c>
      <c r="BC14" s="12" t="s">
        <v>116</v>
      </c>
      <c r="BD14" s="12" t="s">
        <v>22</v>
      </c>
      <c r="BE14" s="12">
        <v>3744</v>
      </c>
      <c r="BF14" s="12" t="s">
        <v>23</v>
      </c>
      <c r="BG14" s="12" t="s">
        <v>22</v>
      </c>
      <c r="BH14" s="12" t="s">
        <v>40</v>
      </c>
      <c r="BI14" s="12">
        <v>16331</v>
      </c>
      <c r="BJ14" s="12" t="e">
        <f>CONS</f>
        <v>#NAME?</v>
      </c>
      <c r="BK14" s="14" t="e">
        <f>VLOOKUP(Hoja1!$B14,Tabla2[[#All],[ID_TRANSACCION]],1,FALSE)</f>
        <v>#N/A</v>
      </c>
    </row>
    <row r="15" spans="1:63" x14ac:dyDescent="0.25">
      <c r="A15" s="20" t="s">
        <v>81</v>
      </c>
      <c r="B15" s="16" t="s">
        <v>117</v>
      </c>
      <c r="C15" s="16">
        <v>28970246</v>
      </c>
      <c r="D15" s="16" t="s">
        <v>1</v>
      </c>
      <c r="E15" s="16" t="s">
        <v>81</v>
      </c>
      <c r="F15" s="16" t="s">
        <v>1</v>
      </c>
      <c r="G15" s="16" t="s">
        <v>1</v>
      </c>
      <c r="H15" s="16" t="s">
        <v>118</v>
      </c>
      <c r="I15" s="16">
        <v>2652447</v>
      </c>
      <c r="J15" s="16" t="s">
        <v>1</v>
      </c>
      <c r="K15" s="16" t="s">
        <v>119</v>
      </c>
      <c r="L15" s="16" t="s">
        <v>29</v>
      </c>
      <c r="M15" s="16" t="s">
        <v>81</v>
      </c>
      <c r="N15" s="16" t="s">
        <v>30</v>
      </c>
      <c r="O15" s="16" t="s">
        <v>6</v>
      </c>
      <c r="P15" s="16" t="s">
        <v>1</v>
      </c>
      <c r="Q15" s="16">
        <v>10</v>
      </c>
      <c r="R15" s="16" t="s">
        <v>120</v>
      </c>
      <c r="S15" s="16" t="s">
        <v>1</v>
      </c>
      <c r="T15" s="16" t="s">
        <v>1</v>
      </c>
      <c r="U15" s="16" t="s">
        <v>1</v>
      </c>
      <c r="V15" s="16" t="s">
        <v>8</v>
      </c>
      <c r="W15" s="16" t="s">
        <v>9</v>
      </c>
      <c r="X15" s="16" t="s">
        <v>10</v>
      </c>
      <c r="Y15" s="16" t="s">
        <v>1</v>
      </c>
      <c r="Z15" s="16" t="s">
        <v>11</v>
      </c>
      <c r="AA15" s="16" t="s">
        <v>1</v>
      </c>
      <c r="AB15" s="16" t="s">
        <v>1</v>
      </c>
      <c r="AC15" s="16" t="s">
        <v>1</v>
      </c>
      <c r="AD15" s="16" t="s">
        <v>1</v>
      </c>
      <c r="AE15" s="16" t="s">
        <v>1</v>
      </c>
      <c r="AF15" s="16" t="s">
        <v>1</v>
      </c>
      <c r="AG15" s="16" t="s">
        <v>1</v>
      </c>
      <c r="AH15" s="16" t="s">
        <v>12</v>
      </c>
      <c r="AI15" s="16" t="s">
        <v>37</v>
      </c>
      <c r="AJ15" s="16" t="s">
        <v>14</v>
      </c>
      <c r="AK15" s="16">
        <v>2652447</v>
      </c>
      <c r="AL15" s="16">
        <v>28970246</v>
      </c>
      <c r="AM15" s="16" t="s">
        <v>118</v>
      </c>
      <c r="AN15" s="16" t="s">
        <v>15</v>
      </c>
      <c r="AO15" s="16" t="s">
        <v>13</v>
      </c>
      <c r="AP15" s="16" t="s">
        <v>16</v>
      </c>
      <c r="AQ15" s="16" t="s">
        <v>37</v>
      </c>
      <c r="AR15" s="16" t="s">
        <v>17</v>
      </c>
      <c r="AS15" s="16" t="s">
        <v>10</v>
      </c>
      <c r="AT15" s="16" t="s">
        <v>31</v>
      </c>
      <c r="AU15" s="16" t="s">
        <v>19</v>
      </c>
      <c r="AV15" s="16" t="s">
        <v>87</v>
      </c>
      <c r="AW15" s="16" t="s">
        <v>121</v>
      </c>
      <c r="AX15" s="16">
        <v>202604</v>
      </c>
      <c r="AY15" s="16">
        <v>24</v>
      </c>
      <c r="AZ15" s="16" t="s">
        <v>81</v>
      </c>
      <c r="BA15" s="16" t="s">
        <v>122</v>
      </c>
      <c r="BB15" s="16" t="s">
        <v>123</v>
      </c>
      <c r="BC15" s="16" t="s">
        <v>124</v>
      </c>
      <c r="BD15" s="16" t="s">
        <v>22</v>
      </c>
      <c r="BE15" s="16">
        <v>3744</v>
      </c>
      <c r="BF15" s="16" t="s">
        <v>23</v>
      </c>
      <c r="BG15" s="16" t="s">
        <v>22</v>
      </c>
      <c r="BH15" s="16" t="s">
        <v>40</v>
      </c>
      <c r="BI15" s="16">
        <v>16344</v>
      </c>
      <c r="BJ15" s="16" t="e">
        <f>CONS</f>
        <v>#NAME?</v>
      </c>
      <c r="BK15" s="18" t="e">
        <f>VLOOKUP(Hoja1!$B15,Tabla2[[#All],[ID_TRANSACCION]],1,FALSE)</f>
        <v>#N/A</v>
      </c>
    </row>
    <row r="16" spans="1:63" x14ac:dyDescent="0.25">
      <c r="A16" s="11" t="s">
        <v>59</v>
      </c>
      <c r="B16" s="12" t="s">
        <v>125</v>
      </c>
      <c r="C16" s="12">
        <v>29096254</v>
      </c>
      <c r="D16" s="12" t="s">
        <v>1</v>
      </c>
      <c r="E16" s="12" t="s">
        <v>59</v>
      </c>
      <c r="F16" s="12" t="s">
        <v>1</v>
      </c>
      <c r="G16" s="12" t="s">
        <v>1</v>
      </c>
      <c r="H16" s="12" t="s">
        <v>126</v>
      </c>
      <c r="I16" s="12">
        <v>2654307</v>
      </c>
      <c r="J16" s="12" t="s">
        <v>1</v>
      </c>
      <c r="K16" s="12" t="s">
        <v>127</v>
      </c>
      <c r="L16" s="12" t="s">
        <v>29</v>
      </c>
      <c r="M16" s="12" t="s">
        <v>59</v>
      </c>
      <c r="N16" s="12" t="s">
        <v>30</v>
      </c>
      <c r="O16" s="12" t="s">
        <v>6</v>
      </c>
      <c r="P16" s="12" t="s">
        <v>1</v>
      </c>
      <c r="Q16" s="12">
        <v>10</v>
      </c>
      <c r="R16" s="12" t="s">
        <v>128</v>
      </c>
      <c r="S16" s="12" t="s">
        <v>1</v>
      </c>
      <c r="T16" s="12" t="s">
        <v>1</v>
      </c>
      <c r="U16" s="12" t="s">
        <v>1</v>
      </c>
      <c r="V16" s="12" t="s">
        <v>8</v>
      </c>
      <c r="W16" s="12" t="s">
        <v>1</v>
      </c>
      <c r="X16" s="12" t="s">
        <v>10</v>
      </c>
      <c r="Y16" s="12" t="s">
        <v>1</v>
      </c>
      <c r="Z16" s="12" t="s">
        <v>11</v>
      </c>
      <c r="AA16" s="12" t="s">
        <v>1</v>
      </c>
      <c r="AB16" s="12" t="s">
        <v>1</v>
      </c>
      <c r="AC16" s="12" t="s">
        <v>1</v>
      </c>
      <c r="AD16" s="12" t="s">
        <v>1</v>
      </c>
      <c r="AE16" s="12" t="s">
        <v>1</v>
      </c>
      <c r="AF16" s="12" t="s">
        <v>1</v>
      </c>
      <c r="AG16" s="12" t="s">
        <v>1</v>
      </c>
      <c r="AH16" s="12" t="s">
        <v>12</v>
      </c>
      <c r="AI16" s="12" t="s">
        <v>37</v>
      </c>
      <c r="AJ16" s="12" t="s">
        <v>14</v>
      </c>
      <c r="AK16" s="12">
        <v>2654307</v>
      </c>
      <c r="AL16" s="12">
        <v>29096254</v>
      </c>
      <c r="AM16" s="12" t="s">
        <v>129</v>
      </c>
      <c r="AN16" s="12" t="s">
        <v>15</v>
      </c>
      <c r="AO16" s="12" t="s">
        <v>13</v>
      </c>
      <c r="AP16" s="12" t="s">
        <v>16</v>
      </c>
      <c r="AQ16" s="12" t="s">
        <v>37</v>
      </c>
      <c r="AR16" s="12" t="s">
        <v>17</v>
      </c>
      <c r="AS16" s="12" t="s">
        <v>10</v>
      </c>
      <c r="AT16" s="12" t="s">
        <v>31</v>
      </c>
      <c r="AU16" s="12" t="s">
        <v>19</v>
      </c>
      <c r="AV16" s="12" t="s">
        <v>59</v>
      </c>
      <c r="AW16" s="12" t="s">
        <v>130</v>
      </c>
      <c r="AX16" s="12">
        <v>202604</v>
      </c>
      <c r="AY16" s="12">
        <v>28</v>
      </c>
      <c r="AZ16" s="12" t="s">
        <v>59</v>
      </c>
      <c r="BA16" s="12" t="s">
        <v>131</v>
      </c>
      <c r="BB16" s="12" t="s">
        <v>20</v>
      </c>
      <c r="BC16" s="12" t="s">
        <v>132</v>
      </c>
      <c r="BD16" s="12" t="s">
        <v>22</v>
      </c>
      <c r="BE16" s="12">
        <v>3744</v>
      </c>
      <c r="BF16" s="12" t="s">
        <v>23</v>
      </c>
      <c r="BG16" s="12" t="s">
        <v>22</v>
      </c>
      <c r="BH16" s="12" t="s">
        <v>40</v>
      </c>
      <c r="BI16" s="12">
        <v>16345</v>
      </c>
      <c r="BJ16" s="12" t="e">
        <f>CONS</f>
        <v>#NAME?</v>
      </c>
      <c r="BK16" s="14" t="e">
        <f>VLOOKUP(Hoja1!$B16,Tabla2[[#All],[ID_TRANSACCION]],1,FALSE)</f>
        <v>#N/A</v>
      </c>
    </row>
    <row r="17" spans="1:63" x14ac:dyDescent="0.25">
      <c r="A17" s="20" t="s">
        <v>133</v>
      </c>
      <c r="B17" s="16" t="s">
        <v>134</v>
      </c>
      <c r="C17" s="16">
        <v>29028168</v>
      </c>
      <c r="D17" s="16" t="s">
        <v>1</v>
      </c>
      <c r="E17" s="16" t="s">
        <v>59</v>
      </c>
      <c r="F17" s="16" t="s">
        <v>1</v>
      </c>
      <c r="G17" s="16" t="s">
        <v>1</v>
      </c>
      <c r="H17" s="16" t="s">
        <v>135</v>
      </c>
      <c r="I17" s="16">
        <v>2652914</v>
      </c>
      <c r="J17" s="16" t="s">
        <v>1</v>
      </c>
      <c r="K17" s="16" t="s">
        <v>136</v>
      </c>
      <c r="L17" s="16" t="s">
        <v>29</v>
      </c>
      <c r="M17" s="16" t="s">
        <v>133</v>
      </c>
      <c r="N17" s="16" t="s">
        <v>30</v>
      </c>
      <c r="O17" s="16" t="s">
        <v>6</v>
      </c>
      <c r="P17" s="16" t="s">
        <v>1</v>
      </c>
      <c r="Q17" s="16">
        <v>9</v>
      </c>
      <c r="R17" s="16" t="s">
        <v>1</v>
      </c>
      <c r="S17" s="16" t="s">
        <v>1</v>
      </c>
      <c r="T17" s="16" t="s">
        <v>1</v>
      </c>
      <c r="U17" s="16" t="s">
        <v>1</v>
      </c>
      <c r="V17" s="16" t="s">
        <v>8</v>
      </c>
      <c r="W17" s="16" t="s">
        <v>9</v>
      </c>
      <c r="X17" s="16" t="s">
        <v>10</v>
      </c>
      <c r="Y17" s="16" t="s">
        <v>1</v>
      </c>
      <c r="Z17" s="16" t="s">
        <v>11</v>
      </c>
      <c r="AA17" s="16" t="s">
        <v>1</v>
      </c>
      <c r="AB17" s="16" t="s">
        <v>1</v>
      </c>
      <c r="AC17" s="16" t="s">
        <v>1</v>
      </c>
      <c r="AD17" s="16" t="s">
        <v>1</v>
      </c>
      <c r="AE17" s="16" t="s">
        <v>1</v>
      </c>
      <c r="AF17" s="16" t="s">
        <v>1</v>
      </c>
      <c r="AG17" s="16" t="s">
        <v>1</v>
      </c>
      <c r="AH17" s="16" t="s">
        <v>12</v>
      </c>
      <c r="AI17" s="16" t="s">
        <v>37</v>
      </c>
      <c r="AJ17" s="16" t="s">
        <v>14</v>
      </c>
      <c r="AK17" s="16">
        <v>2652914</v>
      </c>
      <c r="AL17" s="16">
        <v>29028168</v>
      </c>
      <c r="AM17" s="16" t="s">
        <v>135</v>
      </c>
      <c r="AN17" s="16" t="s">
        <v>15</v>
      </c>
      <c r="AO17" s="16" t="s">
        <v>13</v>
      </c>
      <c r="AP17" s="16" t="s">
        <v>16</v>
      </c>
      <c r="AQ17" s="16" t="s">
        <v>37</v>
      </c>
      <c r="AR17" s="16" t="s">
        <v>17</v>
      </c>
      <c r="AS17" s="16" t="s">
        <v>10</v>
      </c>
      <c r="AT17" s="16" t="s">
        <v>31</v>
      </c>
      <c r="AU17" s="16" t="s">
        <v>19</v>
      </c>
      <c r="AV17" s="16" t="s">
        <v>133</v>
      </c>
      <c r="AW17" s="16" t="s">
        <v>137</v>
      </c>
      <c r="AX17" s="16">
        <v>202604</v>
      </c>
      <c r="AY17" s="16">
        <v>27</v>
      </c>
      <c r="AZ17" s="16" t="s">
        <v>133</v>
      </c>
      <c r="BA17" s="16" t="s">
        <v>138</v>
      </c>
      <c r="BB17" s="16" t="s">
        <v>139</v>
      </c>
      <c r="BC17" s="16" t="s">
        <v>140</v>
      </c>
      <c r="BD17" s="16" t="s">
        <v>22</v>
      </c>
      <c r="BE17" s="16">
        <v>3744</v>
      </c>
      <c r="BF17" s="16" t="s">
        <v>23</v>
      </c>
      <c r="BG17" s="16" t="s">
        <v>22</v>
      </c>
      <c r="BH17" s="16" t="s">
        <v>40</v>
      </c>
      <c r="BI17" s="16">
        <v>16352</v>
      </c>
      <c r="BJ17" s="16" t="e">
        <f>CONS</f>
        <v>#NAME?</v>
      </c>
      <c r="BK17" s="18" t="e">
        <f>VLOOKUP(Hoja1!$B17,Tabla2[[#All],[ID_TRANSACCION]],1,FALSE)</f>
        <v>#N/A</v>
      </c>
    </row>
    <row r="18" spans="1:63" x14ac:dyDescent="0.25">
      <c r="A18" s="11" t="s">
        <v>87</v>
      </c>
      <c r="B18" s="12" t="s">
        <v>141</v>
      </c>
      <c r="C18" s="12">
        <v>28894505</v>
      </c>
      <c r="D18" s="12" t="s">
        <v>1</v>
      </c>
      <c r="E18" s="12" t="s">
        <v>81</v>
      </c>
      <c r="F18" s="12" t="s">
        <v>1</v>
      </c>
      <c r="G18" s="12" t="s">
        <v>1</v>
      </c>
      <c r="H18" s="12" t="s">
        <v>142</v>
      </c>
      <c r="I18" s="12">
        <v>2650508</v>
      </c>
      <c r="J18" s="12" t="s">
        <v>1</v>
      </c>
      <c r="K18" s="12" t="s">
        <v>143</v>
      </c>
      <c r="L18" s="12" t="s">
        <v>29</v>
      </c>
      <c r="M18" s="12" t="s">
        <v>87</v>
      </c>
      <c r="N18" s="12" t="s">
        <v>30</v>
      </c>
      <c r="O18" s="12" t="s">
        <v>6</v>
      </c>
      <c r="P18" s="12" t="s">
        <v>1</v>
      </c>
      <c r="Q18" s="12">
        <v>10</v>
      </c>
      <c r="R18" s="12" t="s">
        <v>1</v>
      </c>
      <c r="S18" s="12" t="s">
        <v>1</v>
      </c>
      <c r="T18" s="12" t="s">
        <v>1</v>
      </c>
      <c r="U18" s="12" t="s">
        <v>1</v>
      </c>
      <c r="V18" s="12" t="s">
        <v>8</v>
      </c>
      <c r="W18" s="12" t="s">
        <v>9</v>
      </c>
      <c r="X18" s="12" t="s">
        <v>10</v>
      </c>
      <c r="Y18" s="12" t="s">
        <v>1</v>
      </c>
      <c r="Z18" s="12" t="s">
        <v>11</v>
      </c>
      <c r="AA18" s="12" t="s">
        <v>1</v>
      </c>
      <c r="AB18" s="12" t="s">
        <v>1</v>
      </c>
      <c r="AC18" s="12" t="s">
        <v>1</v>
      </c>
      <c r="AD18" s="12" t="s">
        <v>1</v>
      </c>
      <c r="AE18" s="12" t="s">
        <v>1</v>
      </c>
      <c r="AF18" s="12" t="s">
        <v>1</v>
      </c>
      <c r="AG18" s="12" t="s">
        <v>1</v>
      </c>
      <c r="AH18" s="12" t="s">
        <v>12</v>
      </c>
      <c r="AI18" s="12" t="s">
        <v>37</v>
      </c>
      <c r="AJ18" s="12" t="s">
        <v>14</v>
      </c>
      <c r="AK18" s="12">
        <v>2650508</v>
      </c>
      <c r="AL18" s="12">
        <v>28894505</v>
      </c>
      <c r="AM18" s="12" t="s">
        <v>142</v>
      </c>
      <c r="AN18" s="12" t="s">
        <v>15</v>
      </c>
      <c r="AO18" s="12" t="s">
        <v>13</v>
      </c>
      <c r="AP18" s="12" t="s">
        <v>16</v>
      </c>
      <c r="AQ18" s="12" t="s">
        <v>37</v>
      </c>
      <c r="AR18" s="12" t="s">
        <v>17</v>
      </c>
      <c r="AS18" s="12" t="s">
        <v>10</v>
      </c>
      <c r="AT18" s="12" t="s">
        <v>31</v>
      </c>
      <c r="AU18" s="12" t="s">
        <v>19</v>
      </c>
      <c r="AV18" s="12" t="s">
        <v>87</v>
      </c>
      <c r="AW18" s="12" t="s">
        <v>144</v>
      </c>
      <c r="AX18" s="12">
        <v>202604</v>
      </c>
      <c r="AY18" s="12">
        <v>23</v>
      </c>
      <c r="AZ18" s="12" t="s">
        <v>87</v>
      </c>
      <c r="BA18" s="12" t="s">
        <v>145</v>
      </c>
      <c r="BB18" s="12" t="s">
        <v>146</v>
      </c>
      <c r="BC18" s="12" t="s">
        <v>147</v>
      </c>
      <c r="BD18" s="12" t="s">
        <v>22</v>
      </c>
      <c r="BE18" s="12">
        <v>3744</v>
      </c>
      <c r="BF18" s="12" t="s">
        <v>23</v>
      </c>
      <c r="BG18" s="12" t="s">
        <v>22</v>
      </c>
      <c r="BH18" s="12" t="s">
        <v>40</v>
      </c>
      <c r="BI18" s="12">
        <v>16381</v>
      </c>
      <c r="BJ18" s="12" t="e">
        <f>CONS</f>
        <v>#NAME?</v>
      </c>
      <c r="BK18" s="14" t="e">
        <f>VLOOKUP(Hoja1!$B18,Tabla2[[#All],[ID_TRANSACCION]],1,FALSE)</f>
        <v>#N/A</v>
      </c>
    </row>
    <row r="19" spans="1:63" x14ac:dyDescent="0.25">
      <c r="A19" s="20" t="s">
        <v>133</v>
      </c>
      <c r="B19" s="16" t="s">
        <v>148</v>
      </c>
      <c r="C19" s="16">
        <v>29087653</v>
      </c>
      <c r="D19" s="16" t="s">
        <v>1</v>
      </c>
      <c r="E19" s="16" t="s">
        <v>59</v>
      </c>
      <c r="F19" s="16" t="s">
        <v>1</v>
      </c>
      <c r="G19" s="16" t="s">
        <v>1</v>
      </c>
      <c r="H19" s="16" t="s">
        <v>149</v>
      </c>
      <c r="I19" s="16">
        <v>2653238</v>
      </c>
      <c r="J19" s="16" t="s">
        <v>1</v>
      </c>
      <c r="K19" s="16" t="s">
        <v>150</v>
      </c>
      <c r="L19" s="16" t="s">
        <v>29</v>
      </c>
      <c r="M19" s="16" t="s">
        <v>133</v>
      </c>
      <c r="N19" s="16" t="s">
        <v>30</v>
      </c>
      <c r="O19" s="16" t="s">
        <v>6</v>
      </c>
      <c r="P19" s="16" t="s">
        <v>1</v>
      </c>
      <c r="Q19" s="16">
        <v>10</v>
      </c>
      <c r="R19" s="16" t="s">
        <v>1</v>
      </c>
      <c r="S19" s="16" t="s">
        <v>1</v>
      </c>
      <c r="T19" s="16" t="s">
        <v>1</v>
      </c>
      <c r="U19" s="16" t="s">
        <v>1</v>
      </c>
      <c r="V19" s="16" t="s">
        <v>8</v>
      </c>
      <c r="W19" s="16" t="s">
        <v>9</v>
      </c>
      <c r="X19" s="16" t="s">
        <v>10</v>
      </c>
      <c r="Y19" s="16" t="s">
        <v>1</v>
      </c>
      <c r="Z19" s="16" t="s">
        <v>11</v>
      </c>
      <c r="AA19" s="16" t="s">
        <v>1</v>
      </c>
      <c r="AB19" s="16" t="s">
        <v>1</v>
      </c>
      <c r="AC19" s="16" t="s">
        <v>1</v>
      </c>
      <c r="AD19" s="16" t="s">
        <v>1</v>
      </c>
      <c r="AE19" s="16" t="s">
        <v>1</v>
      </c>
      <c r="AF19" s="16" t="s">
        <v>1</v>
      </c>
      <c r="AG19" s="16" t="s">
        <v>1</v>
      </c>
      <c r="AH19" s="16" t="s">
        <v>12</v>
      </c>
      <c r="AI19" s="16" t="s">
        <v>37</v>
      </c>
      <c r="AJ19" s="16" t="s">
        <v>14</v>
      </c>
      <c r="AK19" s="16">
        <v>2653238</v>
      </c>
      <c r="AL19" s="16">
        <v>29087653</v>
      </c>
      <c r="AM19" s="16" t="s">
        <v>151</v>
      </c>
      <c r="AN19" s="16" t="s">
        <v>15</v>
      </c>
      <c r="AO19" s="16" t="s">
        <v>13</v>
      </c>
      <c r="AP19" s="16" t="s">
        <v>16</v>
      </c>
      <c r="AQ19" s="16" t="s">
        <v>37</v>
      </c>
      <c r="AR19" s="16" t="s">
        <v>17</v>
      </c>
      <c r="AS19" s="16" t="s">
        <v>10</v>
      </c>
      <c r="AT19" s="16" t="s">
        <v>31</v>
      </c>
      <c r="AU19" s="16" t="s">
        <v>19</v>
      </c>
      <c r="AV19" s="16" t="s">
        <v>152</v>
      </c>
      <c r="AW19" s="16" t="s">
        <v>153</v>
      </c>
      <c r="AX19" s="16">
        <v>202604</v>
      </c>
      <c r="AY19" s="16">
        <v>27</v>
      </c>
      <c r="AZ19" s="16" t="s">
        <v>133</v>
      </c>
      <c r="BA19" s="16" t="s">
        <v>154</v>
      </c>
      <c r="BB19" s="16" t="s">
        <v>155</v>
      </c>
      <c r="BC19" s="16" t="s">
        <v>156</v>
      </c>
      <c r="BD19" s="16" t="s">
        <v>22</v>
      </c>
      <c r="BE19" s="16">
        <v>3744</v>
      </c>
      <c r="BF19" s="16" t="s">
        <v>23</v>
      </c>
      <c r="BG19" s="16" t="s">
        <v>22</v>
      </c>
      <c r="BH19" s="16" t="s">
        <v>40</v>
      </c>
      <c r="BI19" s="16">
        <v>16384</v>
      </c>
      <c r="BJ19" s="16" t="e">
        <f>CONS</f>
        <v>#NAME?</v>
      </c>
      <c r="BK19" s="18" t="e">
        <f>VLOOKUP(Hoja1!$B19,Tabla2[[#All],[ID_TRANSACCION]],1,FALSE)</f>
        <v>#N/A</v>
      </c>
    </row>
    <row r="20" spans="1:63" x14ac:dyDescent="0.25">
      <c r="A20" s="11" t="s">
        <v>133</v>
      </c>
      <c r="B20" s="12" t="s">
        <v>157</v>
      </c>
      <c r="C20" s="12">
        <v>29092517</v>
      </c>
      <c r="D20" s="12" t="s">
        <v>1</v>
      </c>
      <c r="E20" s="12" t="s">
        <v>59</v>
      </c>
      <c r="F20" s="12" t="s">
        <v>1</v>
      </c>
      <c r="G20" s="12" t="s">
        <v>1</v>
      </c>
      <c r="H20" s="12" t="s">
        <v>158</v>
      </c>
      <c r="I20" s="12">
        <v>2653812</v>
      </c>
      <c r="J20" s="12" t="s">
        <v>1</v>
      </c>
      <c r="K20" s="12" t="s">
        <v>159</v>
      </c>
      <c r="L20" s="12" t="s">
        <v>29</v>
      </c>
      <c r="M20" s="12" t="s">
        <v>133</v>
      </c>
      <c r="N20" s="12" t="s">
        <v>30</v>
      </c>
      <c r="O20" s="12" t="s">
        <v>6</v>
      </c>
      <c r="P20" s="12" t="s">
        <v>1</v>
      </c>
      <c r="Q20" s="12">
        <v>10</v>
      </c>
      <c r="R20" s="12" t="s">
        <v>1</v>
      </c>
      <c r="S20" s="12" t="s">
        <v>1</v>
      </c>
      <c r="T20" s="12" t="s">
        <v>1</v>
      </c>
      <c r="U20" s="12" t="s">
        <v>1</v>
      </c>
      <c r="V20" s="12" t="s">
        <v>8</v>
      </c>
      <c r="W20" s="12" t="s">
        <v>9</v>
      </c>
      <c r="X20" s="12" t="s">
        <v>10</v>
      </c>
      <c r="Y20" s="12" t="s">
        <v>1</v>
      </c>
      <c r="Z20" s="12" t="s">
        <v>11</v>
      </c>
      <c r="AA20" s="12" t="s">
        <v>1</v>
      </c>
      <c r="AB20" s="12" t="s">
        <v>1</v>
      </c>
      <c r="AC20" s="12" t="s">
        <v>1</v>
      </c>
      <c r="AD20" s="12" t="s">
        <v>1</v>
      </c>
      <c r="AE20" s="12" t="s">
        <v>1</v>
      </c>
      <c r="AF20" s="12" t="s">
        <v>1</v>
      </c>
      <c r="AG20" s="12" t="s">
        <v>1</v>
      </c>
      <c r="AH20" s="12" t="s">
        <v>12</v>
      </c>
      <c r="AI20" s="12" t="s">
        <v>37</v>
      </c>
      <c r="AJ20" s="12" t="s">
        <v>14</v>
      </c>
      <c r="AK20" s="12">
        <v>2653812</v>
      </c>
      <c r="AL20" s="12">
        <v>29092517</v>
      </c>
      <c r="AM20" s="12" t="s">
        <v>158</v>
      </c>
      <c r="AN20" s="12" t="s">
        <v>15</v>
      </c>
      <c r="AO20" s="12" t="s">
        <v>13</v>
      </c>
      <c r="AP20" s="12" t="s">
        <v>16</v>
      </c>
      <c r="AQ20" s="12" t="s">
        <v>37</v>
      </c>
      <c r="AR20" s="12" t="s">
        <v>17</v>
      </c>
      <c r="AS20" s="12" t="s">
        <v>10</v>
      </c>
      <c r="AT20" s="12" t="s">
        <v>31</v>
      </c>
      <c r="AU20" s="12" t="s">
        <v>19</v>
      </c>
      <c r="AV20" s="12" t="s">
        <v>133</v>
      </c>
      <c r="AW20" s="12" t="s">
        <v>160</v>
      </c>
      <c r="AX20" s="12">
        <v>202604</v>
      </c>
      <c r="AY20" s="12">
        <v>27</v>
      </c>
      <c r="AZ20" s="12" t="s">
        <v>133</v>
      </c>
      <c r="BA20" s="12" t="s">
        <v>161</v>
      </c>
      <c r="BB20" s="12" t="s">
        <v>162</v>
      </c>
      <c r="BC20" s="12" t="s">
        <v>163</v>
      </c>
      <c r="BD20" s="12" t="s">
        <v>22</v>
      </c>
      <c r="BE20" s="12">
        <v>3744</v>
      </c>
      <c r="BF20" s="12" t="s">
        <v>23</v>
      </c>
      <c r="BG20" s="12" t="s">
        <v>22</v>
      </c>
      <c r="BH20" s="12" t="s">
        <v>40</v>
      </c>
      <c r="BI20" s="12">
        <v>16385</v>
      </c>
      <c r="BJ20" s="12" t="e">
        <f>CONS</f>
        <v>#NAME?</v>
      </c>
      <c r="BK20" s="14" t="e">
        <f>VLOOKUP(Hoja1!$B20,Tabla2[[#All],[ID_TRANSACCION]],1,FALSE)</f>
        <v>#N/A</v>
      </c>
    </row>
    <row r="21" spans="1:63" x14ac:dyDescent="0.25">
      <c r="A21" s="20" t="s">
        <v>59</v>
      </c>
      <c r="B21" s="16" t="s">
        <v>164</v>
      </c>
      <c r="C21" s="16">
        <v>29097570</v>
      </c>
      <c r="D21" s="16" t="s">
        <v>1</v>
      </c>
      <c r="E21" s="16" t="s">
        <v>59</v>
      </c>
      <c r="F21" s="16" t="s">
        <v>1</v>
      </c>
      <c r="G21" s="16" t="s">
        <v>1</v>
      </c>
      <c r="H21" s="16" t="s">
        <v>165</v>
      </c>
      <c r="I21" s="16">
        <v>2654485</v>
      </c>
      <c r="J21" s="16" t="s">
        <v>1</v>
      </c>
      <c r="K21" s="16" t="s">
        <v>166</v>
      </c>
      <c r="L21" s="16" t="s">
        <v>29</v>
      </c>
      <c r="M21" s="16" t="s">
        <v>59</v>
      </c>
      <c r="N21" s="16" t="s">
        <v>30</v>
      </c>
      <c r="O21" s="16" t="s">
        <v>6</v>
      </c>
      <c r="P21" s="16" t="s">
        <v>1</v>
      </c>
      <c r="Q21" s="16">
        <v>9</v>
      </c>
      <c r="R21" s="16" t="s">
        <v>167</v>
      </c>
      <c r="S21" s="16" t="s">
        <v>1</v>
      </c>
      <c r="T21" s="16" t="s">
        <v>1</v>
      </c>
      <c r="U21" s="16" t="s">
        <v>1</v>
      </c>
      <c r="V21" s="16" t="s">
        <v>8</v>
      </c>
      <c r="W21" s="16" t="s">
        <v>9</v>
      </c>
      <c r="X21" s="16" t="s">
        <v>10</v>
      </c>
      <c r="Y21" s="16" t="s">
        <v>1</v>
      </c>
      <c r="Z21" s="16" t="s">
        <v>11</v>
      </c>
      <c r="AA21" s="16" t="s">
        <v>1</v>
      </c>
      <c r="AB21" s="16" t="s">
        <v>1</v>
      </c>
      <c r="AC21" s="16" t="s">
        <v>1</v>
      </c>
      <c r="AD21" s="16" t="s">
        <v>1</v>
      </c>
      <c r="AE21" s="16" t="s">
        <v>1</v>
      </c>
      <c r="AF21" s="16" t="s">
        <v>1</v>
      </c>
      <c r="AG21" s="16" t="s">
        <v>1</v>
      </c>
      <c r="AH21" s="16" t="s">
        <v>12</v>
      </c>
      <c r="AI21" s="16" t="s">
        <v>37</v>
      </c>
      <c r="AJ21" s="16" t="s">
        <v>14</v>
      </c>
      <c r="AK21" s="16">
        <v>2654485</v>
      </c>
      <c r="AL21" s="16">
        <v>29097570</v>
      </c>
      <c r="AM21" s="16" t="s">
        <v>165</v>
      </c>
      <c r="AN21" s="16" t="s">
        <v>15</v>
      </c>
      <c r="AO21" s="16" t="s">
        <v>13</v>
      </c>
      <c r="AP21" s="16" t="s">
        <v>16</v>
      </c>
      <c r="AQ21" s="16" t="s">
        <v>37</v>
      </c>
      <c r="AR21" s="16" t="s">
        <v>17</v>
      </c>
      <c r="AS21" s="16" t="s">
        <v>10</v>
      </c>
      <c r="AT21" s="16" t="s">
        <v>31</v>
      </c>
      <c r="AU21" s="16" t="s">
        <v>19</v>
      </c>
      <c r="AV21" s="16" t="s">
        <v>59</v>
      </c>
      <c r="AW21" s="16" t="s">
        <v>168</v>
      </c>
      <c r="AX21" s="16">
        <v>202604</v>
      </c>
      <c r="AY21" s="16">
        <v>28</v>
      </c>
      <c r="AZ21" s="16" t="s">
        <v>59</v>
      </c>
      <c r="BA21" s="16" t="s">
        <v>169</v>
      </c>
      <c r="BB21" s="16" t="s">
        <v>170</v>
      </c>
      <c r="BC21" s="16" t="s">
        <v>171</v>
      </c>
      <c r="BD21" s="16" t="s">
        <v>22</v>
      </c>
      <c r="BE21" s="16">
        <v>3744</v>
      </c>
      <c r="BF21" s="16" t="s">
        <v>23</v>
      </c>
      <c r="BG21" s="16" t="s">
        <v>22</v>
      </c>
      <c r="BH21" s="16" t="s">
        <v>40</v>
      </c>
      <c r="BI21" s="16">
        <v>16386</v>
      </c>
      <c r="BJ21" s="16" t="e">
        <f>CONS</f>
        <v>#NAME?</v>
      </c>
      <c r="BK21" s="18" t="e">
        <f>VLOOKUP(Hoja1!$B21,Tabla2[[#All],[ID_TRANSACCION]],1,FALSE)</f>
        <v>#N/A</v>
      </c>
    </row>
    <row r="22" spans="1:63" x14ac:dyDescent="0.25">
      <c r="A22" s="11" t="s">
        <v>172</v>
      </c>
      <c r="B22" s="12" t="s">
        <v>173</v>
      </c>
      <c r="C22" s="12">
        <v>29168521</v>
      </c>
      <c r="D22" s="12" t="s">
        <v>1</v>
      </c>
      <c r="E22" s="12" t="s">
        <v>174</v>
      </c>
      <c r="F22" s="12" t="s">
        <v>1</v>
      </c>
      <c r="G22" s="12" t="s">
        <v>1</v>
      </c>
      <c r="H22" s="12" t="s">
        <v>175</v>
      </c>
      <c r="I22" s="12">
        <v>2660990</v>
      </c>
      <c r="J22" s="12" t="s">
        <v>1</v>
      </c>
      <c r="K22" s="12" t="s">
        <v>176</v>
      </c>
      <c r="L22" s="12" t="s">
        <v>29</v>
      </c>
      <c r="M22" s="12" t="s">
        <v>172</v>
      </c>
      <c r="N22" s="12" t="s">
        <v>30</v>
      </c>
      <c r="O22" s="12" t="s">
        <v>6</v>
      </c>
      <c r="P22" s="12" t="s">
        <v>1</v>
      </c>
      <c r="Q22" s="12">
        <v>10</v>
      </c>
      <c r="R22" s="12" t="s">
        <v>177</v>
      </c>
      <c r="S22" s="12" t="s">
        <v>1</v>
      </c>
      <c r="T22" s="12" t="s">
        <v>1</v>
      </c>
      <c r="U22" s="12" t="s">
        <v>1</v>
      </c>
      <c r="V22" s="12" t="s">
        <v>8</v>
      </c>
      <c r="W22" s="12" t="s">
        <v>9</v>
      </c>
      <c r="X22" s="12" t="s">
        <v>10</v>
      </c>
      <c r="Y22" s="12" t="s">
        <v>1</v>
      </c>
      <c r="Z22" s="12" t="s">
        <v>11</v>
      </c>
      <c r="AA22" s="12" t="s">
        <v>1</v>
      </c>
      <c r="AB22" s="12" t="s">
        <v>1</v>
      </c>
      <c r="AC22" s="12" t="s">
        <v>1</v>
      </c>
      <c r="AD22" s="12" t="s">
        <v>1</v>
      </c>
      <c r="AE22" s="12" t="s">
        <v>1</v>
      </c>
      <c r="AF22" s="12" t="s">
        <v>1</v>
      </c>
      <c r="AG22" s="12" t="s">
        <v>1</v>
      </c>
      <c r="AH22" s="12" t="s">
        <v>12</v>
      </c>
      <c r="AI22" s="12" t="s">
        <v>37</v>
      </c>
      <c r="AJ22" s="12" t="s">
        <v>14</v>
      </c>
      <c r="AK22" s="12">
        <v>2660990</v>
      </c>
      <c r="AL22" s="12">
        <v>29168521</v>
      </c>
      <c r="AM22" s="12" t="s">
        <v>175</v>
      </c>
      <c r="AN22" s="12" t="s">
        <v>15</v>
      </c>
      <c r="AO22" s="12" t="s">
        <v>13</v>
      </c>
      <c r="AP22" s="12" t="s">
        <v>16</v>
      </c>
      <c r="AQ22" s="12" t="s">
        <v>37</v>
      </c>
      <c r="AR22" s="12" t="s">
        <v>17</v>
      </c>
      <c r="AS22" s="12" t="s">
        <v>10</v>
      </c>
      <c r="AT22" s="12" t="s">
        <v>31</v>
      </c>
      <c r="AU22" s="12" t="s">
        <v>19</v>
      </c>
      <c r="AV22" s="12" t="s">
        <v>178</v>
      </c>
      <c r="AW22" s="12" t="s">
        <v>179</v>
      </c>
      <c r="AX22" s="12">
        <v>202605</v>
      </c>
      <c r="AY22" s="12">
        <v>15</v>
      </c>
      <c r="AZ22" s="12" t="s">
        <v>172</v>
      </c>
      <c r="BA22" s="12" t="s">
        <v>180</v>
      </c>
      <c r="BB22" s="12" t="s">
        <v>52</v>
      </c>
      <c r="BC22" s="12" t="s">
        <v>181</v>
      </c>
      <c r="BD22" s="12" t="s">
        <v>22</v>
      </c>
      <c r="BE22" s="12">
        <v>3744</v>
      </c>
      <c r="BF22" s="12" t="s">
        <v>23</v>
      </c>
      <c r="BG22" s="12" t="s">
        <v>22</v>
      </c>
      <c r="BH22" s="12" t="s">
        <v>40</v>
      </c>
      <c r="BI22" s="12">
        <v>16487</v>
      </c>
      <c r="BJ22" s="12"/>
      <c r="BK22" s="14" t="str">
        <f>VLOOKUP(Hoja1!$B22,Tabla2[[#All],[ID_TRANSACCION]],1,FALSE)</f>
        <v>BO_FS_202605152660990_29168521</v>
      </c>
    </row>
    <row r="23" spans="1:63" x14ac:dyDescent="0.25">
      <c r="A23" s="20" t="s">
        <v>172</v>
      </c>
      <c r="B23" s="16" t="s">
        <v>182</v>
      </c>
      <c r="C23" s="16">
        <v>29179740</v>
      </c>
      <c r="D23" s="16" t="s">
        <v>1</v>
      </c>
      <c r="E23" s="16" t="s">
        <v>174</v>
      </c>
      <c r="F23" s="16" t="s">
        <v>1</v>
      </c>
      <c r="G23" s="16" t="s">
        <v>1</v>
      </c>
      <c r="H23" s="16" t="s">
        <v>183</v>
      </c>
      <c r="I23" s="16">
        <v>2662795</v>
      </c>
      <c r="J23" s="16" t="s">
        <v>1</v>
      </c>
      <c r="K23" s="16" t="s">
        <v>184</v>
      </c>
      <c r="L23" s="16" t="s">
        <v>29</v>
      </c>
      <c r="M23" s="16" t="s">
        <v>172</v>
      </c>
      <c r="N23" s="16" t="s">
        <v>30</v>
      </c>
      <c r="O23" s="16" t="s">
        <v>6</v>
      </c>
      <c r="P23" s="16" t="s">
        <v>1</v>
      </c>
      <c r="Q23" s="16">
        <v>10</v>
      </c>
      <c r="R23" s="16">
        <v>10</v>
      </c>
      <c r="S23" s="16" t="s">
        <v>1</v>
      </c>
      <c r="T23" s="16" t="s">
        <v>1</v>
      </c>
      <c r="U23" s="16" t="s">
        <v>1</v>
      </c>
      <c r="V23" s="16" t="s">
        <v>8</v>
      </c>
      <c r="W23" s="16" t="s">
        <v>9</v>
      </c>
      <c r="X23" s="16" t="s">
        <v>10</v>
      </c>
      <c r="Y23" s="16" t="s">
        <v>1</v>
      </c>
      <c r="Z23" s="16" t="s">
        <v>11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12</v>
      </c>
      <c r="AI23" s="16" t="s">
        <v>37</v>
      </c>
      <c r="AJ23" s="16" t="s">
        <v>14</v>
      </c>
      <c r="AK23" s="16">
        <v>2662795</v>
      </c>
      <c r="AL23" s="16">
        <v>29179740</v>
      </c>
      <c r="AM23" s="16" t="s">
        <v>185</v>
      </c>
      <c r="AN23" s="16" t="s">
        <v>15</v>
      </c>
      <c r="AO23" s="16" t="s">
        <v>13</v>
      </c>
      <c r="AP23" s="16" t="s">
        <v>16</v>
      </c>
      <c r="AQ23" s="16" t="s">
        <v>37</v>
      </c>
      <c r="AR23" s="16" t="s">
        <v>17</v>
      </c>
      <c r="AS23" s="16" t="s">
        <v>10</v>
      </c>
      <c r="AT23" s="16" t="s">
        <v>31</v>
      </c>
      <c r="AU23" s="16" t="s">
        <v>19</v>
      </c>
      <c r="AV23" s="16" t="s">
        <v>178</v>
      </c>
      <c r="AW23" s="16" t="s">
        <v>186</v>
      </c>
      <c r="AX23" s="16">
        <v>202605</v>
      </c>
      <c r="AY23" s="16">
        <v>15</v>
      </c>
      <c r="AZ23" s="16" t="s">
        <v>172</v>
      </c>
      <c r="BA23" s="16" t="s">
        <v>187</v>
      </c>
      <c r="BB23" s="16" t="s">
        <v>62</v>
      </c>
      <c r="BC23" s="16" t="s">
        <v>188</v>
      </c>
      <c r="BD23" s="16" t="s">
        <v>22</v>
      </c>
      <c r="BE23" s="16">
        <v>3744</v>
      </c>
      <c r="BF23" s="16" t="s">
        <v>23</v>
      </c>
      <c r="BG23" s="16" t="s">
        <v>22</v>
      </c>
      <c r="BH23" s="16" t="s">
        <v>40</v>
      </c>
      <c r="BI23" s="16">
        <v>16489</v>
      </c>
      <c r="BJ23" s="16"/>
      <c r="BK23" s="18" t="str">
        <f>VLOOKUP(Hoja1!$B23,Tabla2[[#All],[ID_TRANSACCION]],1,FALSE)</f>
        <v>BO_FS_202605152662795_29179740</v>
      </c>
    </row>
    <row r="24" spans="1:63" x14ac:dyDescent="0.25">
      <c r="A24" s="11" t="s">
        <v>172</v>
      </c>
      <c r="B24" s="12" t="s">
        <v>189</v>
      </c>
      <c r="C24" s="12">
        <v>29176801</v>
      </c>
      <c r="D24" s="12" t="s">
        <v>1</v>
      </c>
      <c r="E24" s="12" t="s">
        <v>174</v>
      </c>
      <c r="F24" s="12" t="s">
        <v>1</v>
      </c>
      <c r="G24" s="12" t="s">
        <v>1</v>
      </c>
      <c r="H24" s="12" t="s">
        <v>190</v>
      </c>
      <c r="I24" s="12">
        <v>2662378</v>
      </c>
      <c r="J24" s="12" t="s">
        <v>1</v>
      </c>
      <c r="K24" s="12" t="s">
        <v>191</v>
      </c>
      <c r="L24" s="12" t="s">
        <v>29</v>
      </c>
      <c r="M24" s="12" t="s">
        <v>172</v>
      </c>
      <c r="N24" s="12" t="s">
        <v>30</v>
      </c>
      <c r="O24" s="12" t="s">
        <v>6</v>
      </c>
      <c r="P24" s="12" t="s">
        <v>1</v>
      </c>
      <c r="Q24" s="12">
        <v>10</v>
      </c>
      <c r="R24" s="12" t="s">
        <v>1</v>
      </c>
      <c r="S24" s="12" t="s">
        <v>1</v>
      </c>
      <c r="T24" s="12" t="s">
        <v>1</v>
      </c>
      <c r="U24" s="12" t="s">
        <v>1</v>
      </c>
      <c r="V24" s="12" t="s">
        <v>8</v>
      </c>
      <c r="W24" s="12" t="s">
        <v>9</v>
      </c>
      <c r="X24" s="12" t="s">
        <v>10</v>
      </c>
      <c r="Y24" s="12" t="s">
        <v>1</v>
      </c>
      <c r="Z24" s="12" t="s">
        <v>11</v>
      </c>
      <c r="AA24" s="12" t="s">
        <v>1</v>
      </c>
      <c r="AB24" s="12" t="s">
        <v>1</v>
      </c>
      <c r="AC24" s="12" t="s">
        <v>1</v>
      </c>
      <c r="AD24" s="12" t="s">
        <v>1</v>
      </c>
      <c r="AE24" s="12" t="s">
        <v>1</v>
      </c>
      <c r="AF24" s="12" t="s">
        <v>1</v>
      </c>
      <c r="AG24" s="12" t="s">
        <v>1</v>
      </c>
      <c r="AH24" s="12" t="s">
        <v>12</v>
      </c>
      <c r="AI24" s="12" t="s">
        <v>37</v>
      </c>
      <c r="AJ24" s="12" t="s">
        <v>14</v>
      </c>
      <c r="AK24" s="12">
        <v>2662378</v>
      </c>
      <c r="AL24" s="12">
        <v>29176801</v>
      </c>
      <c r="AM24" s="12" t="s">
        <v>190</v>
      </c>
      <c r="AN24" s="12" t="s">
        <v>15</v>
      </c>
      <c r="AO24" s="12" t="s">
        <v>13</v>
      </c>
      <c r="AP24" s="12" t="s">
        <v>16</v>
      </c>
      <c r="AQ24" s="12" t="s">
        <v>37</v>
      </c>
      <c r="AR24" s="12" t="s">
        <v>17</v>
      </c>
      <c r="AS24" s="12" t="s">
        <v>10</v>
      </c>
      <c r="AT24" s="12" t="s">
        <v>31</v>
      </c>
      <c r="AU24" s="12" t="s">
        <v>19</v>
      </c>
      <c r="AV24" s="12" t="s">
        <v>192</v>
      </c>
      <c r="AW24" s="12" t="s">
        <v>193</v>
      </c>
      <c r="AX24" s="12">
        <v>202605</v>
      </c>
      <c r="AY24" s="12">
        <v>15</v>
      </c>
      <c r="AZ24" s="12" t="s">
        <v>172</v>
      </c>
      <c r="BA24" s="12" t="s">
        <v>194</v>
      </c>
      <c r="BB24" s="12" t="s">
        <v>195</v>
      </c>
      <c r="BC24" s="12" t="s">
        <v>196</v>
      </c>
      <c r="BD24" s="12" t="s">
        <v>22</v>
      </c>
      <c r="BE24" s="12">
        <v>3744</v>
      </c>
      <c r="BF24" s="12" t="s">
        <v>23</v>
      </c>
      <c r="BG24" s="12" t="s">
        <v>22</v>
      </c>
      <c r="BH24" s="12" t="s">
        <v>40</v>
      </c>
      <c r="BI24" s="12">
        <v>16535</v>
      </c>
      <c r="BJ24" s="12"/>
      <c r="BK24" s="14" t="str">
        <f>VLOOKUP(Hoja1!$B24,Tabla2[[#All],[ID_TRANSACCION]],1,FALSE)</f>
        <v>BO_FS_202605152662378_29176801</v>
      </c>
    </row>
    <row r="25" spans="1:63" x14ac:dyDescent="0.25">
      <c r="A25" s="20" t="s">
        <v>178</v>
      </c>
      <c r="B25" s="16" t="s">
        <v>197</v>
      </c>
      <c r="C25" s="16">
        <v>29168783</v>
      </c>
      <c r="D25" s="16" t="s">
        <v>1</v>
      </c>
      <c r="E25" s="16" t="s">
        <v>198</v>
      </c>
      <c r="F25" s="16" t="s">
        <v>1</v>
      </c>
      <c r="G25" s="16" t="s">
        <v>1</v>
      </c>
      <c r="H25" s="16" t="s">
        <v>199</v>
      </c>
      <c r="I25" s="16">
        <v>2661045</v>
      </c>
      <c r="J25" s="16" t="s">
        <v>1</v>
      </c>
      <c r="K25" s="16" t="s">
        <v>200</v>
      </c>
      <c r="L25" s="16" t="s">
        <v>29</v>
      </c>
      <c r="M25" s="16" t="s">
        <v>178</v>
      </c>
      <c r="N25" s="16" t="s">
        <v>30</v>
      </c>
      <c r="O25" s="16" t="s">
        <v>6</v>
      </c>
      <c r="P25" s="16" t="s">
        <v>1</v>
      </c>
      <c r="Q25" s="16">
        <v>10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8</v>
      </c>
      <c r="W25" s="16" t="s">
        <v>9</v>
      </c>
      <c r="X25" s="16" t="s">
        <v>10</v>
      </c>
      <c r="Y25" s="16" t="s">
        <v>1</v>
      </c>
      <c r="Z25" s="16" t="s">
        <v>11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12</v>
      </c>
      <c r="AI25" s="16" t="s">
        <v>37</v>
      </c>
      <c r="AJ25" s="16" t="s">
        <v>14</v>
      </c>
      <c r="AK25" s="16">
        <v>2661045</v>
      </c>
      <c r="AL25" s="16">
        <v>29168783</v>
      </c>
      <c r="AM25" s="16" t="s">
        <v>199</v>
      </c>
      <c r="AN25" s="16" t="s">
        <v>15</v>
      </c>
      <c r="AO25" s="16" t="s">
        <v>13</v>
      </c>
      <c r="AP25" s="16" t="s">
        <v>16</v>
      </c>
      <c r="AQ25" s="16" t="s">
        <v>37</v>
      </c>
      <c r="AR25" s="16" t="s">
        <v>17</v>
      </c>
      <c r="AS25" s="16" t="s">
        <v>10</v>
      </c>
      <c r="AT25" s="16" t="s">
        <v>31</v>
      </c>
      <c r="AU25" s="16" t="s">
        <v>19</v>
      </c>
      <c r="AV25" s="16" t="s">
        <v>178</v>
      </c>
      <c r="AW25" s="16" t="s">
        <v>201</v>
      </c>
      <c r="AX25" s="16">
        <v>202605</v>
      </c>
      <c r="AY25" s="16">
        <v>14</v>
      </c>
      <c r="AZ25" s="16" t="s">
        <v>178</v>
      </c>
      <c r="BA25" s="16" t="s">
        <v>202</v>
      </c>
      <c r="BB25" s="16" t="s">
        <v>203</v>
      </c>
      <c r="BC25" s="16" t="s">
        <v>204</v>
      </c>
      <c r="BD25" s="16" t="s">
        <v>22</v>
      </c>
      <c r="BE25" s="16">
        <v>3744</v>
      </c>
      <c r="BF25" s="16" t="s">
        <v>23</v>
      </c>
      <c r="BG25" s="16" t="s">
        <v>22</v>
      </c>
      <c r="BH25" s="16" t="s">
        <v>40</v>
      </c>
      <c r="BI25" s="16">
        <v>16550</v>
      </c>
      <c r="BJ25" s="16"/>
      <c r="BK25" s="18" t="str">
        <f>VLOOKUP(Hoja1!$B25,Tabla2[[#All],[ID_TRANSACCION]],1,FALSE)</f>
        <v>BO_FS_202605142661045_29168783</v>
      </c>
    </row>
    <row r="26" spans="1:63" x14ac:dyDescent="0.25">
      <c r="A26" s="11" t="s">
        <v>178</v>
      </c>
      <c r="B26" s="12" t="s">
        <v>205</v>
      </c>
      <c r="C26" s="12">
        <v>29173424</v>
      </c>
      <c r="D26" s="12" t="s">
        <v>1</v>
      </c>
      <c r="E26" s="12" t="s">
        <v>198</v>
      </c>
      <c r="F26" s="12" t="s">
        <v>1</v>
      </c>
      <c r="G26" s="12" t="s">
        <v>1</v>
      </c>
      <c r="H26" s="12" t="s">
        <v>206</v>
      </c>
      <c r="I26" s="12">
        <v>2661655</v>
      </c>
      <c r="J26" s="12" t="s">
        <v>1</v>
      </c>
      <c r="K26" s="12" t="s">
        <v>207</v>
      </c>
      <c r="L26" s="12" t="s">
        <v>29</v>
      </c>
      <c r="M26" s="12" t="s">
        <v>178</v>
      </c>
      <c r="N26" s="12" t="s">
        <v>30</v>
      </c>
      <c r="O26" s="12" t="s">
        <v>6</v>
      </c>
      <c r="P26" s="12" t="s">
        <v>1</v>
      </c>
      <c r="Q26" s="12">
        <v>8</v>
      </c>
      <c r="R26" s="12" t="s">
        <v>1</v>
      </c>
      <c r="S26" s="12" t="s">
        <v>1</v>
      </c>
      <c r="T26" s="12" t="s">
        <v>1</v>
      </c>
      <c r="U26" s="12" t="s">
        <v>1</v>
      </c>
      <c r="V26" s="12" t="s">
        <v>8</v>
      </c>
      <c r="W26" s="12" t="s">
        <v>9</v>
      </c>
      <c r="X26" s="12" t="s">
        <v>10</v>
      </c>
      <c r="Y26" s="12" t="s">
        <v>1</v>
      </c>
      <c r="Z26" s="12" t="s">
        <v>208</v>
      </c>
      <c r="AA26" s="12" t="s">
        <v>1</v>
      </c>
      <c r="AB26" s="12" t="s">
        <v>1</v>
      </c>
      <c r="AC26" s="12" t="s">
        <v>1</v>
      </c>
      <c r="AD26" s="12" t="s">
        <v>1</v>
      </c>
      <c r="AE26" s="12" t="s">
        <v>1</v>
      </c>
      <c r="AF26" s="12" t="s">
        <v>1</v>
      </c>
      <c r="AG26" s="12" t="s">
        <v>1</v>
      </c>
      <c r="AH26" s="12" t="s">
        <v>12</v>
      </c>
      <c r="AI26" s="12" t="s">
        <v>37</v>
      </c>
      <c r="AJ26" s="12" t="s">
        <v>14</v>
      </c>
      <c r="AK26" s="12">
        <v>2661655</v>
      </c>
      <c r="AL26" s="12">
        <v>29173424</v>
      </c>
      <c r="AM26" s="12" t="s">
        <v>206</v>
      </c>
      <c r="AN26" s="12" t="s">
        <v>15</v>
      </c>
      <c r="AO26" s="12" t="s">
        <v>13</v>
      </c>
      <c r="AP26" s="12" t="s">
        <v>16</v>
      </c>
      <c r="AQ26" s="12" t="s">
        <v>37</v>
      </c>
      <c r="AR26" s="12" t="s">
        <v>17</v>
      </c>
      <c r="AS26" s="12" t="s">
        <v>10</v>
      </c>
      <c r="AT26" s="12" t="s">
        <v>31</v>
      </c>
      <c r="AU26" s="12" t="s">
        <v>19</v>
      </c>
      <c r="AV26" s="12" t="s">
        <v>192</v>
      </c>
      <c r="AW26" s="12" t="s">
        <v>209</v>
      </c>
      <c r="AX26" s="12">
        <v>202605</v>
      </c>
      <c r="AY26" s="12">
        <v>14</v>
      </c>
      <c r="AZ26" s="12" t="s">
        <v>178</v>
      </c>
      <c r="BA26" s="12" t="s">
        <v>210</v>
      </c>
      <c r="BB26" s="12" t="s">
        <v>211</v>
      </c>
      <c r="BC26" s="12" t="s">
        <v>212</v>
      </c>
      <c r="BD26" s="12" t="s">
        <v>22</v>
      </c>
      <c r="BE26" s="12">
        <v>3744</v>
      </c>
      <c r="BF26" s="12" t="s">
        <v>23</v>
      </c>
      <c r="BG26" s="12" t="s">
        <v>22</v>
      </c>
      <c r="BH26" s="12" t="s">
        <v>40</v>
      </c>
      <c r="BI26" s="12">
        <v>16557</v>
      </c>
      <c r="BJ26" s="12"/>
      <c r="BK26" s="14" t="str">
        <f>VLOOKUP(Hoja1!$B26,Tabla2[[#All],[ID_TRANSACCION]],1,FALSE)</f>
        <v>BO_FS_202605142661655_29173424</v>
      </c>
    </row>
    <row r="27" spans="1:63" x14ac:dyDescent="0.25">
      <c r="A27" s="20" t="s">
        <v>213</v>
      </c>
      <c r="B27" s="16" t="s">
        <v>214</v>
      </c>
      <c r="C27" s="16">
        <v>29200626</v>
      </c>
      <c r="D27" s="16" t="s">
        <v>1</v>
      </c>
      <c r="E27" s="16" t="s">
        <v>215</v>
      </c>
      <c r="F27" s="16" t="s">
        <v>1</v>
      </c>
      <c r="G27" s="16" t="s">
        <v>1</v>
      </c>
      <c r="H27" s="16" t="s">
        <v>216</v>
      </c>
      <c r="I27" s="16">
        <v>2665678</v>
      </c>
      <c r="J27" s="16" t="s">
        <v>1</v>
      </c>
      <c r="K27" s="16" t="s">
        <v>217</v>
      </c>
      <c r="L27" s="16" t="s">
        <v>29</v>
      </c>
      <c r="M27" s="16" t="s">
        <v>213</v>
      </c>
      <c r="N27" s="16" t="s">
        <v>30</v>
      </c>
      <c r="O27" s="16" t="s">
        <v>6</v>
      </c>
      <c r="P27" s="16" t="s">
        <v>1</v>
      </c>
      <c r="Q27" s="16">
        <v>10</v>
      </c>
      <c r="R27" s="16" t="s">
        <v>218</v>
      </c>
      <c r="S27" s="16" t="s">
        <v>1</v>
      </c>
      <c r="T27" s="16" t="s">
        <v>1</v>
      </c>
      <c r="U27" s="16" t="s">
        <v>1</v>
      </c>
      <c r="V27" s="16" t="s">
        <v>8</v>
      </c>
      <c r="W27" s="16" t="s">
        <v>9</v>
      </c>
      <c r="X27" s="16" t="s">
        <v>10</v>
      </c>
      <c r="Y27" s="16" t="s">
        <v>1</v>
      </c>
      <c r="Z27" s="16" t="s">
        <v>11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  <c r="AG27" s="16" t="s">
        <v>1</v>
      </c>
      <c r="AH27" s="16" t="s">
        <v>12</v>
      </c>
      <c r="AI27" s="16" t="s">
        <v>37</v>
      </c>
      <c r="AJ27" s="16" t="s">
        <v>14</v>
      </c>
      <c r="AK27" s="16">
        <v>2665678</v>
      </c>
      <c r="AL27" s="16">
        <v>29200626</v>
      </c>
      <c r="AM27" s="16" t="s">
        <v>216</v>
      </c>
      <c r="AN27" s="16" t="s">
        <v>15</v>
      </c>
      <c r="AO27" s="16" t="s">
        <v>13</v>
      </c>
      <c r="AP27" s="16" t="s">
        <v>16</v>
      </c>
      <c r="AQ27" s="16" t="s">
        <v>37</v>
      </c>
      <c r="AR27" s="16" t="s">
        <v>17</v>
      </c>
      <c r="AS27" s="16" t="s">
        <v>10</v>
      </c>
      <c r="AT27" s="16" t="s">
        <v>31</v>
      </c>
      <c r="AU27" s="16" t="s">
        <v>19</v>
      </c>
      <c r="AV27" s="16" t="s">
        <v>219</v>
      </c>
      <c r="AW27" s="16" t="s">
        <v>220</v>
      </c>
      <c r="AX27" s="16">
        <v>202605</v>
      </c>
      <c r="AY27" s="16">
        <v>21</v>
      </c>
      <c r="AZ27" s="16" t="s">
        <v>213</v>
      </c>
      <c r="BA27" s="16" t="s">
        <v>221</v>
      </c>
      <c r="BB27" s="16" t="s">
        <v>222</v>
      </c>
      <c r="BC27" s="16" t="s">
        <v>223</v>
      </c>
      <c r="BD27" s="16" t="s">
        <v>22</v>
      </c>
      <c r="BE27" s="16">
        <v>3744</v>
      </c>
      <c r="BF27" s="16" t="s">
        <v>23</v>
      </c>
      <c r="BG27" s="16" t="s">
        <v>22</v>
      </c>
      <c r="BH27" s="16" t="s">
        <v>40</v>
      </c>
      <c r="BI27" s="16">
        <v>16559</v>
      </c>
      <c r="BJ27" s="16"/>
      <c r="BK27" s="18" t="str">
        <f>VLOOKUP(Hoja1!$B27,Tabla2[[#All],[ID_TRANSACCION]],1,FALSE)</f>
        <v>BO_FS_202605212665678_29200626</v>
      </c>
    </row>
    <row r="28" spans="1:63" x14ac:dyDescent="0.25">
      <c r="A28" s="11" t="s">
        <v>224</v>
      </c>
      <c r="B28" s="12" t="s">
        <v>225</v>
      </c>
      <c r="C28" s="12">
        <v>29209953</v>
      </c>
      <c r="D28" s="12" t="s">
        <v>1</v>
      </c>
      <c r="E28" s="12" t="s">
        <v>215</v>
      </c>
      <c r="F28" s="12" t="s">
        <v>1</v>
      </c>
      <c r="G28" s="12" t="s">
        <v>1</v>
      </c>
      <c r="H28" s="12" t="s">
        <v>226</v>
      </c>
      <c r="I28" s="12">
        <v>2666965</v>
      </c>
      <c r="J28" s="12" t="s">
        <v>1</v>
      </c>
      <c r="K28" s="12" t="s">
        <v>227</v>
      </c>
      <c r="L28" s="12" t="s">
        <v>29</v>
      </c>
      <c r="M28" s="12" t="s">
        <v>224</v>
      </c>
      <c r="N28" s="12" t="s">
        <v>30</v>
      </c>
      <c r="O28" s="12" t="s">
        <v>6</v>
      </c>
      <c r="P28" s="12" t="s">
        <v>1</v>
      </c>
      <c r="Q28" s="12">
        <v>8</v>
      </c>
      <c r="R28" s="12" t="s">
        <v>1</v>
      </c>
      <c r="S28" s="12" t="s">
        <v>1</v>
      </c>
      <c r="T28" s="12" t="s">
        <v>1</v>
      </c>
      <c r="U28" s="12" t="s">
        <v>1</v>
      </c>
      <c r="V28" s="12" t="s">
        <v>8</v>
      </c>
      <c r="W28" s="12" t="s">
        <v>9</v>
      </c>
      <c r="X28" s="12" t="s">
        <v>10</v>
      </c>
      <c r="Y28" s="12" t="s">
        <v>1</v>
      </c>
      <c r="Z28" s="12" t="s">
        <v>208</v>
      </c>
      <c r="AA28" s="12" t="s">
        <v>1</v>
      </c>
      <c r="AB28" s="12" t="s">
        <v>1</v>
      </c>
      <c r="AC28" s="12" t="s">
        <v>1</v>
      </c>
      <c r="AD28" s="12" t="s">
        <v>1</v>
      </c>
      <c r="AE28" s="12" t="s">
        <v>1</v>
      </c>
      <c r="AF28" s="12" t="s">
        <v>1</v>
      </c>
      <c r="AG28" s="12" t="s">
        <v>1</v>
      </c>
      <c r="AH28" s="12" t="s">
        <v>12</v>
      </c>
      <c r="AI28" s="12" t="s">
        <v>37</v>
      </c>
      <c r="AJ28" s="12" t="s">
        <v>14</v>
      </c>
      <c r="AK28" s="12">
        <v>2666965</v>
      </c>
      <c r="AL28" s="12">
        <v>29209953</v>
      </c>
      <c r="AM28" s="12" t="s">
        <v>226</v>
      </c>
      <c r="AN28" s="12" t="s">
        <v>15</v>
      </c>
      <c r="AO28" s="12" t="s">
        <v>13</v>
      </c>
      <c r="AP28" s="12" t="s">
        <v>16</v>
      </c>
      <c r="AQ28" s="12" t="s">
        <v>37</v>
      </c>
      <c r="AR28" s="12" t="s">
        <v>17</v>
      </c>
      <c r="AS28" s="12" t="s">
        <v>10</v>
      </c>
      <c r="AT28" s="12" t="s">
        <v>31</v>
      </c>
      <c r="AU28" s="12" t="s">
        <v>19</v>
      </c>
      <c r="AV28" s="12" t="s">
        <v>224</v>
      </c>
      <c r="AW28" s="12" t="s">
        <v>228</v>
      </c>
      <c r="AX28" s="12">
        <v>202605</v>
      </c>
      <c r="AY28" s="12">
        <v>23</v>
      </c>
      <c r="AZ28" s="12" t="s">
        <v>224</v>
      </c>
      <c r="BA28" s="12" t="s">
        <v>229</v>
      </c>
      <c r="BB28" s="12" t="s">
        <v>230</v>
      </c>
      <c r="BC28" s="12" t="s">
        <v>231</v>
      </c>
      <c r="BD28" s="12" t="s">
        <v>22</v>
      </c>
      <c r="BE28" s="12">
        <v>3744</v>
      </c>
      <c r="BF28" s="12" t="s">
        <v>23</v>
      </c>
      <c r="BG28" s="12" t="s">
        <v>22</v>
      </c>
      <c r="BH28" s="12" t="s">
        <v>40</v>
      </c>
      <c r="BI28" s="12">
        <v>16561</v>
      </c>
      <c r="BJ28" s="12"/>
      <c r="BK28" s="14" t="str">
        <f>VLOOKUP(Hoja1!$B28,Tabla2[[#All],[ID_TRANSACCION]],1,FALSE)</f>
        <v>BO_FS_202605232666965_29209953</v>
      </c>
    </row>
    <row r="29" spans="1:63" x14ac:dyDescent="0.25">
      <c r="A29" s="20" t="s">
        <v>224</v>
      </c>
      <c r="B29" s="16" t="s">
        <v>232</v>
      </c>
      <c r="C29" s="16">
        <v>29208851</v>
      </c>
      <c r="D29" s="16" t="s">
        <v>1</v>
      </c>
      <c r="E29" s="16" t="s">
        <v>215</v>
      </c>
      <c r="F29" s="16" t="s">
        <v>1</v>
      </c>
      <c r="G29" s="16" t="s">
        <v>1</v>
      </c>
      <c r="H29" s="16" t="s">
        <v>233</v>
      </c>
      <c r="I29" s="16">
        <v>2666994</v>
      </c>
      <c r="J29" s="16" t="s">
        <v>1</v>
      </c>
      <c r="K29" s="16" t="s">
        <v>234</v>
      </c>
      <c r="L29" s="16" t="s">
        <v>29</v>
      </c>
      <c r="M29" s="16" t="s">
        <v>224</v>
      </c>
      <c r="N29" s="16" t="s">
        <v>30</v>
      </c>
      <c r="O29" s="16" t="s">
        <v>6</v>
      </c>
      <c r="P29" s="16" t="s">
        <v>1</v>
      </c>
      <c r="Q29" s="16">
        <v>10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8</v>
      </c>
      <c r="W29" s="16" t="s">
        <v>9</v>
      </c>
      <c r="X29" s="16" t="s">
        <v>10</v>
      </c>
      <c r="Y29" s="16" t="s">
        <v>1</v>
      </c>
      <c r="Z29" s="16" t="s">
        <v>11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12</v>
      </c>
      <c r="AI29" s="16" t="s">
        <v>37</v>
      </c>
      <c r="AJ29" s="16" t="s">
        <v>14</v>
      </c>
      <c r="AK29" s="16">
        <v>2666994</v>
      </c>
      <c r="AL29" s="16">
        <v>29208851</v>
      </c>
      <c r="AM29" s="16" t="s">
        <v>233</v>
      </c>
      <c r="AN29" s="16" t="s">
        <v>15</v>
      </c>
      <c r="AO29" s="16" t="s">
        <v>13</v>
      </c>
      <c r="AP29" s="16" t="s">
        <v>16</v>
      </c>
      <c r="AQ29" s="16" t="s">
        <v>37</v>
      </c>
      <c r="AR29" s="16" t="s">
        <v>17</v>
      </c>
      <c r="AS29" s="16" t="s">
        <v>10</v>
      </c>
      <c r="AT29" s="16" t="s">
        <v>31</v>
      </c>
      <c r="AU29" s="16" t="s">
        <v>19</v>
      </c>
      <c r="AV29" s="16" t="s">
        <v>235</v>
      </c>
      <c r="AW29" s="16" t="s">
        <v>236</v>
      </c>
      <c r="AX29" s="16">
        <v>202605</v>
      </c>
      <c r="AY29" s="16">
        <v>23</v>
      </c>
      <c r="AZ29" s="16" t="s">
        <v>224</v>
      </c>
      <c r="BA29" s="16" t="s">
        <v>237</v>
      </c>
      <c r="BB29" s="16" t="s">
        <v>238</v>
      </c>
      <c r="BC29" s="16" t="s">
        <v>239</v>
      </c>
      <c r="BD29" s="16" t="s">
        <v>22</v>
      </c>
      <c r="BE29" s="16">
        <v>3744</v>
      </c>
      <c r="BF29" s="16" t="s">
        <v>23</v>
      </c>
      <c r="BG29" s="16" t="s">
        <v>22</v>
      </c>
      <c r="BH29" s="16" t="s">
        <v>40</v>
      </c>
      <c r="BI29" s="16">
        <v>16562</v>
      </c>
      <c r="BJ29" s="16"/>
      <c r="BK29" s="18" t="str">
        <f>VLOOKUP(Hoja1!$B29,Tabla2[[#All],[ID_TRANSACCION]],1,FALSE)</f>
        <v>BO_FS_202605232666994_29208851</v>
      </c>
    </row>
    <row r="30" spans="1:63" x14ac:dyDescent="0.25">
      <c r="A30" s="11" t="s">
        <v>224</v>
      </c>
      <c r="B30" s="12" t="s">
        <v>240</v>
      </c>
      <c r="C30" s="12">
        <v>29210542</v>
      </c>
      <c r="D30" s="12" t="s">
        <v>1</v>
      </c>
      <c r="E30" s="12" t="s">
        <v>215</v>
      </c>
      <c r="F30" s="12" t="s">
        <v>1</v>
      </c>
      <c r="G30" s="12" t="s">
        <v>1</v>
      </c>
      <c r="H30" s="12" t="s">
        <v>241</v>
      </c>
      <c r="I30" s="12">
        <v>2480261</v>
      </c>
      <c r="J30" s="12" t="s">
        <v>1</v>
      </c>
      <c r="K30" s="12" t="s">
        <v>242</v>
      </c>
      <c r="L30" s="12" t="s">
        <v>29</v>
      </c>
      <c r="M30" s="12" t="s">
        <v>224</v>
      </c>
      <c r="N30" s="12" t="s">
        <v>30</v>
      </c>
      <c r="O30" s="12" t="s">
        <v>6</v>
      </c>
      <c r="P30" s="12" t="s">
        <v>1</v>
      </c>
      <c r="Q30" s="12">
        <v>9</v>
      </c>
      <c r="R30" s="12" t="s">
        <v>243</v>
      </c>
      <c r="S30" s="12" t="s">
        <v>1</v>
      </c>
      <c r="T30" s="12" t="s">
        <v>1</v>
      </c>
      <c r="U30" s="12" t="s">
        <v>1</v>
      </c>
      <c r="V30" s="12" t="s">
        <v>8</v>
      </c>
      <c r="W30" s="12" t="s">
        <v>9</v>
      </c>
      <c r="X30" s="12" t="s">
        <v>10</v>
      </c>
      <c r="Y30" s="12" t="s">
        <v>1</v>
      </c>
      <c r="Z30" s="12" t="s">
        <v>11</v>
      </c>
      <c r="AA30" s="12" t="s">
        <v>1</v>
      </c>
      <c r="AB30" s="12" t="s">
        <v>1</v>
      </c>
      <c r="AC30" s="12" t="s">
        <v>1</v>
      </c>
      <c r="AD30" s="12" t="s">
        <v>1</v>
      </c>
      <c r="AE30" s="12" t="s">
        <v>1</v>
      </c>
      <c r="AF30" s="12" t="s">
        <v>1</v>
      </c>
      <c r="AG30" s="12" t="s">
        <v>1</v>
      </c>
      <c r="AH30" s="12" t="s">
        <v>12</v>
      </c>
      <c r="AI30" s="12" t="s">
        <v>37</v>
      </c>
      <c r="AJ30" s="12" t="s">
        <v>14</v>
      </c>
      <c r="AK30" s="12">
        <v>2480261</v>
      </c>
      <c r="AL30" s="12">
        <v>29210542</v>
      </c>
      <c r="AM30" s="12" t="s">
        <v>241</v>
      </c>
      <c r="AN30" s="12" t="s">
        <v>15</v>
      </c>
      <c r="AO30" s="12" t="s">
        <v>13</v>
      </c>
      <c r="AP30" s="12" t="s">
        <v>16</v>
      </c>
      <c r="AQ30" s="12" t="s">
        <v>37</v>
      </c>
      <c r="AR30" s="12" t="s">
        <v>17</v>
      </c>
      <c r="AS30" s="12" t="s">
        <v>10</v>
      </c>
      <c r="AT30" s="12" t="s">
        <v>31</v>
      </c>
      <c r="AU30" s="12" t="s">
        <v>19</v>
      </c>
      <c r="AV30" s="12" t="s">
        <v>224</v>
      </c>
      <c r="AW30" s="12" t="s">
        <v>244</v>
      </c>
      <c r="AX30" s="12">
        <v>202605</v>
      </c>
      <c r="AY30" s="12">
        <v>23</v>
      </c>
      <c r="AZ30" s="12" t="s">
        <v>224</v>
      </c>
      <c r="BA30" s="12" t="s">
        <v>245</v>
      </c>
      <c r="BB30" s="12" t="s">
        <v>246</v>
      </c>
      <c r="BC30" s="12" t="s">
        <v>247</v>
      </c>
      <c r="BD30" s="12" t="s">
        <v>22</v>
      </c>
      <c r="BE30" s="12">
        <v>3744</v>
      </c>
      <c r="BF30" s="12" t="s">
        <v>23</v>
      </c>
      <c r="BG30" s="12" t="s">
        <v>22</v>
      </c>
      <c r="BH30" s="12" t="s">
        <v>40</v>
      </c>
      <c r="BI30" s="12">
        <v>16565</v>
      </c>
      <c r="BJ30" s="12"/>
      <c r="BK30" s="14" t="str">
        <f>VLOOKUP(Hoja1!$B30,Tabla2[[#All],[ID_TRANSACCION]],1,FALSE)</f>
        <v>BO_FS_202605232480261_29210542</v>
      </c>
    </row>
    <row r="31" spans="1:63" x14ac:dyDescent="0.25">
      <c r="A31" s="15">
        <v>46117</v>
      </c>
      <c r="B31" s="16" t="s">
        <v>248</v>
      </c>
      <c r="C31" s="16">
        <v>29119172</v>
      </c>
      <c r="D31" s="16" t="s">
        <v>1</v>
      </c>
      <c r="E31" s="17">
        <v>46208</v>
      </c>
      <c r="F31" s="16" t="s">
        <v>1</v>
      </c>
      <c r="G31" s="16" t="s">
        <v>1</v>
      </c>
      <c r="H31" s="16" t="s">
        <v>249</v>
      </c>
      <c r="I31" s="16">
        <v>2656640</v>
      </c>
      <c r="J31" s="16" t="s">
        <v>1</v>
      </c>
      <c r="K31" s="16" t="s">
        <v>250</v>
      </c>
      <c r="L31" s="16" t="s">
        <v>29</v>
      </c>
      <c r="M31" s="17">
        <v>46117</v>
      </c>
      <c r="N31" s="16" t="s">
        <v>30</v>
      </c>
      <c r="O31" s="16" t="s">
        <v>6</v>
      </c>
      <c r="P31" s="16" t="s">
        <v>1</v>
      </c>
      <c r="Q31" s="16">
        <v>10</v>
      </c>
      <c r="R31" s="16" t="s">
        <v>251</v>
      </c>
      <c r="S31" s="16" t="s">
        <v>1</v>
      </c>
      <c r="T31" s="16" t="s">
        <v>1</v>
      </c>
      <c r="U31" s="16" t="s">
        <v>1</v>
      </c>
      <c r="V31" s="16" t="s">
        <v>8</v>
      </c>
      <c r="W31" s="16" t="s">
        <v>9</v>
      </c>
      <c r="X31" s="16" t="s">
        <v>10</v>
      </c>
      <c r="Y31" s="16" t="s">
        <v>1</v>
      </c>
      <c r="Z31" s="16" t="s">
        <v>11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12</v>
      </c>
      <c r="AI31" s="16" t="s">
        <v>37</v>
      </c>
      <c r="AJ31" s="16" t="s">
        <v>14</v>
      </c>
      <c r="AK31" s="16">
        <v>2656640</v>
      </c>
      <c r="AL31" s="16">
        <v>29119172</v>
      </c>
      <c r="AM31" s="16" t="s">
        <v>249</v>
      </c>
      <c r="AN31" s="16" t="s">
        <v>15</v>
      </c>
      <c r="AO31" s="16" t="s">
        <v>13</v>
      </c>
      <c r="AP31" s="16" t="s">
        <v>16</v>
      </c>
      <c r="AQ31" s="16" t="s">
        <v>37</v>
      </c>
      <c r="AR31" s="16" t="s">
        <v>17</v>
      </c>
      <c r="AS31" s="16" t="s">
        <v>10</v>
      </c>
      <c r="AT31" s="16" t="s">
        <v>31</v>
      </c>
      <c r="AU31" s="16" t="s">
        <v>19</v>
      </c>
      <c r="AV31" s="17">
        <v>46117</v>
      </c>
      <c r="AW31" s="17">
        <v>46117.481249999997</v>
      </c>
      <c r="AX31" s="16">
        <v>202605</v>
      </c>
      <c r="AY31" s="16">
        <v>4</v>
      </c>
      <c r="AZ31" s="17">
        <v>46117</v>
      </c>
      <c r="BA31" s="17">
        <v>46117.537800925929</v>
      </c>
      <c r="BB31" s="16" t="s">
        <v>45</v>
      </c>
      <c r="BC31" s="16" t="s">
        <v>252</v>
      </c>
      <c r="BD31" s="16" t="s">
        <v>22</v>
      </c>
      <c r="BE31" s="16">
        <v>3744</v>
      </c>
      <c r="BF31" s="16" t="s">
        <v>23</v>
      </c>
      <c r="BG31" s="16" t="s">
        <v>22</v>
      </c>
      <c r="BH31" s="16" t="s">
        <v>40</v>
      </c>
      <c r="BI31" s="16">
        <v>16602</v>
      </c>
      <c r="BJ31" s="16" t="e">
        <f>CONS</f>
        <v>#NAME?</v>
      </c>
      <c r="BK31" s="18" t="str">
        <f>VLOOKUP(Hoja1!$B31,Tabla2[[#All],[ID_TRANSACCION]],1,FALSE)</f>
        <v>BO_FS_202605042656640_29119172</v>
      </c>
    </row>
    <row r="32" spans="1:63" x14ac:dyDescent="0.25">
      <c r="A32" s="11" t="s">
        <v>253</v>
      </c>
      <c r="B32" s="12" t="s">
        <v>254</v>
      </c>
      <c r="C32" s="12">
        <v>29186660</v>
      </c>
      <c r="D32" s="12" t="s">
        <v>1</v>
      </c>
      <c r="E32" s="12" t="s">
        <v>198</v>
      </c>
      <c r="F32" s="12" t="s">
        <v>1</v>
      </c>
      <c r="G32" s="12" t="s">
        <v>1</v>
      </c>
      <c r="H32" s="12" t="s">
        <v>255</v>
      </c>
      <c r="I32" s="12">
        <v>2663801</v>
      </c>
      <c r="J32" s="12" t="s">
        <v>1</v>
      </c>
      <c r="K32" s="12" t="s">
        <v>256</v>
      </c>
      <c r="L32" s="12" t="s">
        <v>29</v>
      </c>
      <c r="M32" s="12" t="s">
        <v>253</v>
      </c>
      <c r="N32" s="12" t="s">
        <v>30</v>
      </c>
      <c r="O32" s="12" t="s">
        <v>6</v>
      </c>
      <c r="P32" s="12" t="s">
        <v>1</v>
      </c>
      <c r="Q32" s="12">
        <v>10</v>
      </c>
      <c r="R32" s="12" t="s">
        <v>1</v>
      </c>
      <c r="S32" s="12" t="s">
        <v>1</v>
      </c>
      <c r="T32" s="12" t="s">
        <v>1</v>
      </c>
      <c r="U32" s="12" t="s">
        <v>1</v>
      </c>
      <c r="V32" s="12" t="s">
        <v>8</v>
      </c>
      <c r="W32" s="12" t="s">
        <v>9</v>
      </c>
      <c r="X32" s="12" t="s">
        <v>10</v>
      </c>
      <c r="Y32" s="12" t="s">
        <v>1</v>
      </c>
      <c r="Z32" s="12" t="s">
        <v>11</v>
      </c>
      <c r="AA32" s="12" t="s">
        <v>1</v>
      </c>
      <c r="AB32" s="12" t="s">
        <v>1</v>
      </c>
      <c r="AC32" s="12" t="s">
        <v>1</v>
      </c>
      <c r="AD32" s="12" t="s">
        <v>1</v>
      </c>
      <c r="AE32" s="12" t="s">
        <v>1</v>
      </c>
      <c r="AF32" s="12" t="s">
        <v>1</v>
      </c>
      <c r="AG32" s="12" t="s">
        <v>1</v>
      </c>
      <c r="AH32" s="12" t="s">
        <v>12</v>
      </c>
      <c r="AI32" s="12" t="s">
        <v>37</v>
      </c>
      <c r="AJ32" s="12" t="s">
        <v>14</v>
      </c>
      <c r="AK32" s="12">
        <v>2663801</v>
      </c>
      <c r="AL32" s="12">
        <v>29186660</v>
      </c>
      <c r="AM32" s="12" t="s">
        <v>255</v>
      </c>
      <c r="AN32" s="12" t="s">
        <v>15</v>
      </c>
      <c r="AO32" s="12" t="s">
        <v>13</v>
      </c>
      <c r="AP32" s="12" t="s">
        <v>16</v>
      </c>
      <c r="AQ32" s="12" t="s">
        <v>37</v>
      </c>
      <c r="AR32" s="12" t="s">
        <v>17</v>
      </c>
      <c r="AS32" s="12" t="s">
        <v>10</v>
      </c>
      <c r="AT32" s="12" t="s">
        <v>31</v>
      </c>
      <c r="AU32" s="12" t="s">
        <v>19</v>
      </c>
      <c r="AV32" s="12" t="s">
        <v>253</v>
      </c>
      <c r="AW32" s="12" t="s">
        <v>257</v>
      </c>
      <c r="AX32" s="12">
        <v>202605</v>
      </c>
      <c r="AY32" s="12">
        <v>16</v>
      </c>
      <c r="AZ32" s="12" t="s">
        <v>253</v>
      </c>
      <c r="BA32" s="12" t="s">
        <v>258</v>
      </c>
      <c r="BB32" s="12" t="s">
        <v>259</v>
      </c>
      <c r="BC32" s="12" t="s">
        <v>260</v>
      </c>
      <c r="BD32" s="12" t="s">
        <v>22</v>
      </c>
      <c r="BE32" s="12">
        <v>3744</v>
      </c>
      <c r="BF32" s="12" t="s">
        <v>23</v>
      </c>
      <c r="BG32" s="12" t="s">
        <v>22</v>
      </c>
      <c r="BH32" s="12" t="s">
        <v>40</v>
      </c>
      <c r="BI32" s="12">
        <v>16603</v>
      </c>
      <c r="BJ32" s="12"/>
      <c r="BK32" s="14" t="str">
        <f>VLOOKUP(Hoja1!$B32,Tabla2[[#All],[ID_TRANSACCION]],1,FALSE)</f>
        <v>BO_FS_202605162663801_29186660</v>
      </c>
    </row>
    <row r="33" spans="1:63" x14ac:dyDescent="0.25">
      <c r="A33" s="20" t="s">
        <v>198</v>
      </c>
      <c r="B33" s="16" t="s">
        <v>261</v>
      </c>
      <c r="C33" s="16">
        <v>29185528</v>
      </c>
      <c r="D33" s="16" t="s">
        <v>1</v>
      </c>
      <c r="E33" s="16" t="s">
        <v>198</v>
      </c>
      <c r="F33" s="16" t="s">
        <v>1</v>
      </c>
      <c r="G33" s="16" t="s">
        <v>1</v>
      </c>
      <c r="H33" s="16" t="s">
        <v>262</v>
      </c>
      <c r="I33" s="16">
        <v>2663715</v>
      </c>
      <c r="J33" s="16" t="s">
        <v>1</v>
      </c>
      <c r="K33" s="16" t="s">
        <v>263</v>
      </c>
      <c r="L33" s="16" t="s">
        <v>29</v>
      </c>
      <c r="M33" s="16" t="s">
        <v>198</v>
      </c>
      <c r="N33" s="16" t="s">
        <v>30</v>
      </c>
      <c r="O33" s="16" t="s">
        <v>6</v>
      </c>
      <c r="P33" s="16" t="s">
        <v>1</v>
      </c>
      <c r="Q33" s="16">
        <v>10</v>
      </c>
      <c r="R33" s="16" t="s">
        <v>264</v>
      </c>
      <c r="S33" s="16" t="s">
        <v>1</v>
      </c>
      <c r="T33" s="16" t="s">
        <v>1</v>
      </c>
      <c r="U33" s="16" t="s">
        <v>1</v>
      </c>
      <c r="V33" s="16" t="s">
        <v>8</v>
      </c>
      <c r="W33" s="16" t="s">
        <v>9</v>
      </c>
      <c r="X33" s="16" t="s">
        <v>10</v>
      </c>
      <c r="Y33" s="16" t="s">
        <v>1</v>
      </c>
      <c r="Z33" s="16" t="s">
        <v>11</v>
      </c>
      <c r="AA33" s="16" t="s">
        <v>1</v>
      </c>
      <c r="AB33" s="16" t="s">
        <v>1</v>
      </c>
      <c r="AC33" s="16" t="s">
        <v>1</v>
      </c>
      <c r="AD33" s="16" t="s">
        <v>1</v>
      </c>
      <c r="AE33" s="16" t="s">
        <v>1</v>
      </c>
      <c r="AF33" s="16" t="s">
        <v>1</v>
      </c>
      <c r="AG33" s="16" t="s">
        <v>1</v>
      </c>
      <c r="AH33" s="16" t="s">
        <v>12</v>
      </c>
      <c r="AI33" s="16" t="s">
        <v>37</v>
      </c>
      <c r="AJ33" s="16" t="s">
        <v>14</v>
      </c>
      <c r="AK33" s="16">
        <v>2663715</v>
      </c>
      <c r="AL33" s="16">
        <v>29185528</v>
      </c>
      <c r="AM33" s="16" t="s">
        <v>262</v>
      </c>
      <c r="AN33" s="16" t="s">
        <v>15</v>
      </c>
      <c r="AO33" s="16" t="s">
        <v>13</v>
      </c>
      <c r="AP33" s="16" t="s">
        <v>16</v>
      </c>
      <c r="AQ33" s="16" t="s">
        <v>37</v>
      </c>
      <c r="AR33" s="16" t="s">
        <v>17</v>
      </c>
      <c r="AS33" s="16" t="s">
        <v>10</v>
      </c>
      <c r="AT33" s="16" t="s">
        <v>31</v>
      </c>
      <c r="AU33" s="16" t="s">
        <v>19</v>
      </c>
      <c r="AV33" s="16" t="s">
        <v>172</v>
      </c>
      <c r="AW33" s="16" t="s">
        <v>265</v>
      </c>
      <c r="AX33" s="16">
        <v>202605</v>
      </c>
      <c r="AY33" s="16">
        <v>17</v>
      </c>
      <c r="AZ33" s="16" t="s">
        <v>198</v>
      </c>
      <c r="BA33" s="16" t="s">
        <v>266</v>
      </c>
      <c r="BB33" s="16" t="s">
        <v>267</v>
      </c>
      <c r="BC33" s="16" t="s">
        <v>268</v>
      </c>
      <c r="BD33" s="16" t="s">
        <v>22</v>
      </c>
      <c r="BE33" s="16">
        <v>3744</v>
      </c>
      <c r="BF33" s="16" t="s">
        <v>23</v>
      </c>
      <c r="BG33" s="16" t="s">
        <v>22</v>
      </c>
      <c r="BH33" s="16" t="s">
        <v>40</v>
      </c>
      <c r="BI33" s="16">
        <v>16608</v>
      </c>
      <c r="BJ33" s="16"/>
      <c r="BK33" s="18" t="str">
        <f>VLOOKUP(Hoja1!$B33,Tabla2[[#All],[ID_TRANSACCION]],1,FALSE)</f>
        <v>BO_FS_202605172663715_29185528</v>
      </c>
    </row>
    <row r="34" spans="1:63" x14ac:dyDescent="0.25">
      <c r="A34" s="11" t="s">
        <v>178</v>
      </c>
      <c r="B34" s="12" t="s">
        <v>269</v>
      </c>
      <c r="C34" s="12">
        <v>29178234</v>
      </c>
      <c r="D34" s="12" t="s">
        <v>1</v>
      </c>
      <c r="E34" s="12" t="s">
        <v>198</v>
      </c>
      <c r="F34" s="12" t="s">
        <v>1</v>
      </c>
      <c r="G34" s="12" t="s">
        <v>1</v>
      </c>
      <c r="H34" s="12" t="s">
        <v>270</v>
      </c>
      <c r="I34" s="12">
        <v>2662574</v>
      </c>
      <c r="J34" s="12" t="s">
        <v>1</v>
      </c>
      <c r="K34" s="12" t="s">
        <v>271</v>
      </c>
      <c r="L34" s="12" t="s">
        <v>29</v>
      </c>
      <c r="M34" s="12" t="s">
        <v>178</v>
      </c>
      <c r="N34" s="12" t="s">
        <v>30</v>
      </c>
      <c r="O34" s="12" t="s">
        <v>6</v>
      </c>
      <c r="P34" s="12" t="s">
        <v>1</v>
      </c>
      <c r="Q34" s="12">
        <v>10</v>
      </c>
      <c r="R34" s="12" t="s">
        <v>1</v>
      </c>
      <c r="S34" s="12" t="s">
        <v>1</v>
      </c>
      <c r="T34" s="12" t="s">
        <v>1</v>
      </c>
      <c r="U34" s="12" t="s">
        <v>1</v>
      </c>
      <c r="V34" s="12" t="s">
        <v>8</v>
      </c>
      <c r="W34" s="12" t="s">
        <v>9</v>
      </c>
      <c r="X34" s="12" t="s">
        <v>10</v>
      </c>
      <c r="Y34" s="12" t="s">
        <v>1</v>
      </c>
      <c r="Z34" s="12" t="s">
        <v>11</v>
      </c>
      <c r="AA34" s="12" t="s">
        <v>1</v>
      </c>
      <c r="AB34" s="12" t="s">
        <v>1</v>
      </c>
      <c r="AC34" s="12" t="s">
        <v>1</v>
      </c>
      <c r="AD34" s="12" t="s">
        <v>1</v>
      </c>
      <c r="AE34" s="12" t="s">
        <v>1</v>
      </c>
      <c r="AF34" s="12" t="s">
        <v>1</v>
      </c>
      <c r="AG34" s="12" t="s">
        <v>1</v>
      </c>
      <c r="AH34" s="12" t="s">
        <v>12</v>
      </c>
      <c r="AI34" s="12" t="s">
        <v>37</v>
      </c>
      <c r="AJ34" s="12" t="s">
        <v>14</v>
      </c>
      <c r="AK34" s="12">
        <v>2662574</v>
      </c>
      <c r="AL34" s="12">
        <v>29178234</v>
      </c>
      <c r="AM34" s="12" t="s">
        <v>270</v>
      </c>
      <c r="AN34" s="12" t="s">
        <v>15</v>
      </c>
      <c r="AO34" s="12" t="s">
        <v>13</v>
      </c>
      <c r="AP34" s="12" t="s">
        <v>16</v>
      </c>
      <c r="AQ34" s="12" t="s">
        <v>37</v>
      </c>
      <c r="AR34" s="12" t="s">
        <v>17</v>
      </c>
      <c r="AS34" s="12" t="s">
        <v>10</v>
      </c>
      <c r="AT34" s="12" t="s">
        <v>31</v>
      </c>
      <c r="AU34" s="12" t="s">
        <v>19</v>
      </c>
      <c r="AV34" s="12" t="s">
        <v>178</v>
      </c>
      <c r="AW34" s="12" t="s">
        <v>272</v>
      </c>
      <c r="AX34" s="12">
        <v>202605</v>
      </c>
      <c r="AY34" s="12">
        <v>14</v>
      </c>
      <c r="AZ34" s="12" t="s">
        <v>178</v>
      </c>
      <c r="BA34" s="12" t="s">
        <v>273</v>
      </c>
      <c r="BB34" s="12" t="s">
        <v>274</v>
      </c>
      <c r="BC34" s="12" t="s">
        <v>275</v>
      </c>
      <c r="BD34" s="12" t="s">
        <v>22</v>
      </c>
      <c r="BE34" s="12">
        <v>3744</v>
      </c>
      <c r="BF34" s="12" t="s">
        <v>23</v>
      </c>
      <c r="BG34" s="12" t="s">
        <v>22</v>
      </c>
      <c r="BH34" s="12" t="s">
        <v>40</v>
      </c>
      <c r="BI34" s="12">
        <v>16609</v>
      </c>
      <c r="BJ34" s="12"/>
      <c r="BK34" s="14" t="str">
        <f>VLOOKUP(Hoja1!$B34,Tabla2[[#All],[ID_TRANSACCION]],1,FALSE)</f>
        <v>BO_FS_202605142662574_29178234</v>
      </c>
    </row>
    <row r="35" spans="1:63" x14ac:dyDescent="0.25">
      <c r="A35" s="20" t="s">
        <v>198</v>
      </c>
      <c r="B35" s="16" t="s">
        <v>276</v>
      </c>
      <c r="C35" s="16">
        <v>29188289</v>
      </c>
      <c r="D35" s="16" t="s">
        <v>1</v>
      </c>
      <c r="E35" s="16" t="s">
        <v>198</v>
      </c>
      <c r="F35" s="16" t="s">
        <v>1</v>
      </c>
      <c r="G35" s="16" t="s">
        <v>1</v>
      </c>
      <c r="H35" s="16" t="s">
        <v>277</v>
      </c>
      <c r="I35" s="16">
        <v>2664029</v>
      </c>
      <c r="J35" s="16" t="s">
        <v>1</v>
      </c>
      <c r="K35" s="16" t="s">
        <v>278</v>
      </c>
      <c r="L35" s="16" t="s">
        <v>29</v>
      </c>
      <c r="M35" s="16" t="s">
        <v>198</v>
      </c>
      <c r="N35" s="16" t="s">
        <v>30</v>
      </c>
      <c r="O35" s="16" t="s">
        <v>6</v>
      </c>
      <c r="P35" s="16" t="s">
        <v>1</v>
      </c>
      <c r="Q35" s="16">
        <v>10</v>
      </c>
      <c r="R35" s="16" t="s">
        <v>279</v>
      </c>
      <c r="S35" s="16" t="s">
        <v>1</v>
      </c>
      <c r="T35" s="16" t="s">
        <v>1</v>
      </c>
      <c r="U35" s="16" t="s">
        <v>1</v>
      </c>
      <c r="V35" s="16" t="s">
        <v>280</v>
      </c>
      <c r="W35" s="16" t="s">
        <v>9</v>
      </c>
      <c r="X35" s="16" t="s">
        <v>10</v>
      </c>
      <c r="Y35" s="16" t="s">
        <v>1</v>
      </c>
      <c r="Z35" s="16" t="s">
        <v>11</v>
      </c>
      <c r="AA35" s="16" t="s">
        <v>1</v>
      </c>
      <c r="AB35" s="16" t="s">
        <v>1</v>
      </c>
      <c r="AC35" s="16" t="s">
        <v>1</v>
      </c>
      <c r="AD35" s="16" t="s">
        <v>1</v>
      </c>
      <c r="AE35" s="16" t="s">
        <v>1</v>
      </c>
      <c r="AF35" s="16" t="s">
        <v>1</v>
      </c>
      <c r="AG35" s="16" t="s">
        <v>1</v>
      </c>
      <c r="AH35" s="16" t="s">
        <v>12</v>
      </c>
      <c r="AI35" s="16" t="s">
        <v>37</v>
      </c>
      <c r="AJ35" s="16" t="s">
        <v>14</v>
      </c>
      <c r="AK35" s="16">
        <v>2664029</v>
      </c>
      <c r="AL35" s="16">
        <v>29188289</v>
      </c>
      <c r="AM35" s="16" t="s">
        <v>277</v>
      </c>
      <c r="AN35" s="16" t="s">
        <v>15</v>
      </c>
      <c r="AO35" s="16" t="s">
        <v>13</v>
      </c>
      <c r="AP35" s="16" t="s">
        <v>16</v>
      </c>
      <c r="AQ35" s="16" t="s">
        <v>37</v>
      </c>
      <c r="AR35" s="16" t="s">
        <v>17</v>
      </c>
      <c r="AS35" s="16" t="s">
        <v>10</v>
      </c>
      <c r="AT35" s="16" t="s">
        <v>31</v>
      </c>
      <c r="AU35" s="16" t="s">
        <v>19</v>
      </c>
      <c r="AV35" s="16" t="s">
        <v>253</v>
      </c>
      <c r="AW35" s="16" t="s">
        <v>281</v>
      </c>
      <c r="AX35" s="16">
        <v>202605</v>
      </c>
      <c r="AY35" s="16">
        <v>17</v>
      </c>
      <c r="AZ35" s="16" t="s">
        <v>198</v>
      </c>
      <c r="BA35" s="16" t="s">
        <v>282</v>
      </c>
      <c r="BB35" s="16" t="s">
        <v>267</v>
      </c>
      <c r="BC35" s="16" t="s">
        <v>283</v>
      </c>
      <c r="BD35" s="16" t="s">
        <v>22</v>
      </c>
      <c r="BE35" s="16">
        <v>3744</v>
      </c>
      <c r="BF35" s="16" t="s">
        <v>23</v>
      </c>
      <c r="BG35" s="16" t="s">
        <v>22</v>
      </c>
      <c r="BH35" s="16" t="s">
        <v>40</v>
      </c>
      <c r="BI35" s="16">
        <v>16610</v>
      </c>
      <c r="BJ35" s="16"/>
      <c r="BK35" s="18" t="str">
        <f>VLOOKUP(Hoja1!$B35,Tabla2[[#All],[ID_TRANSACCION]],1,FALSE)</f>
        <v>BO_FS_202605172664029_29188289</v>
      </c>
    </row>
    <row r="36" spans="1:63" x14ac:dyDescent="0.25">
      <c r="A36" s="11" t="s">
        <v>284</v>
      </c>
      <c r="B36" s="12" t="s">
        <v>285</v>
      </c>
      <c r="C36" s="12">
        <v>29179752</v>
      </c>
      <c r="D36" s="12" t="s">
        <v>1</v>
      </c>
      <c r="E36" s="12" t="s">
        <v>219</v>
      </c>
      <c r="F36" s="12" t="s">
        <v>1</v>
      </c>
      <c r="G36" s="12" t="s">
        <v>1</v>
      </c>
      <c r="H36" s="12" t="s">
        <v>286</v>
      </c>
      <c r="I36" s="12">
        <v>2661004</v>
      </c>
      <c r="J36" s="12" t="s">
        <v>1</v>
      </c>
      <c r="K36" s="12" t="s">
        <v>287</v>
      </c>
      <c r="L36" s="12" t="s">
        <v>29</v>
      </c>
      <c r="M36" s="12" t="s">
        <v>284</v>
      </c>
      <c r="N36" s="12" t="s">
        <v>30</v>
      </c>
      <c r="O36" s="12" t="s">
        <v>6</v>
      </c>
      <c r="P36" s="12" t="s">
        <v>1</v>
      </c>
      <c r="Q36" s="12">
        <v>10</v>
      </c>
      <c r="R36" s="12" t="s">
        <v>1</v>
      </c>
      <c r="S36" s="12" t="s">
        <v>1</v>
      </c>
      <c r="T36" s="12" t="s">
        <v>1</v>
      </c>
      <c r="U36" s="12" t="s">
        <v>1</v>
      </c>
      <c r="V36" s="12" t="s">
        <v>8</v>
      </c>
      <c r="W36" s="12" t="s">
        <v>9</v>
      </c>
      <c r="X36" s="12" t="s">
        <v>10</v>
      </c>
      <c r="Y36" s="12" t="s">
        <v>1</v>
      </c>
      <c r="Z36" s="12" t="s">
        <v>11</v>
      </c>
      <c r="AA36" s="12" t="s">
        <v>1</v>
      </c>
      <c r="AB36" s="12" t="s">
        <v>1</v>
      </c>
      <c r="AC36" s="12" t="s">
        <v>1</v>
      </c>
      <c r="AD36" s="12" t="s">
        <v>1</v>
      </c>
      <c r="AE36" s="12" t="s">
        <v>1</v>
      </c>
      <c r="AF36" s="12" t="s">
        <v>1</v>
      </c>
      <c r="AG36" s="12" t="s">
        <v>1</v>
      </c>
      <c r="AH36" s="12" t="s">
        <v>12</v>
      </c>
      <c r="AI36" s="12" t="s">
        <v>37</v>
      </c>
      <c r="AJ36" s="12" t="s">
        <v>14</v>
      </c>
      <c r="AK36" s="12">
        <v>2661004</v>
      </c>
      <c r="AL36" s="12">
        <v>29179752</v>
      </c>
      <c r="AM36" s="12" t="s">
        <v>286</v>
      </c>
      <c r="AN36" s="12" t="s">
        <v>15</v>
      </c>
      <c r="AO36" s="12" t="s">
        <v>13</v>
      </c>
      <c r="AP36" s="12" t="s">
        <v>16</v>
      </c>
      <c r="AQ36" s="12" t="s">
        <v>37</v>
      </c>
      <c r="AR36" s="12" t="s">
        <v>17</v>
      </c>
      <c r="AS36" s="12" t="s">
        <v>10</v>
      </c>
      <c r="AT36" s="12" t="s">
        <v>31</v>
      </c>
      <c r="AU36" s="12" t="s">
        <v>19</v>
      </c>
      <c r="AV36" s="12" t="s">
        <v>284</v>
      </c>
      <c r="AW36" s="12" t="s">
        <v>288</v>
      </c>
      <c r="AX36" s="12">
        <v>202605</v>
      </c>
      <c r="AY36" s="12">
        <v>19</v>
      </c>
      <c r="AZ36" s="12" t="s">
        <v>284</v>
      </c>
      <c r="BA36" s="12" t="s">
        <v>289</v>
      </c>
      <c r="BB36" s="12" t="s">
        <v>45</v>
      </c>
      <c r="BC36" s="12" t="s">
        <v>290</v>
      </c>
      <c r="BD36" s="12" t="s">
        <v>22</v>
      </c>
      <c r="BE36" s="12">
        <v>3744</v>
      </c>
      <c r="BF36" s="12" t="s">
        <v>23</v>
      </c>
      <c r="BG36" s="12" t="s">
        <v>22</v>
      </c>
      <c r="BH36" s="12" t="s">
        <v>40</v>
      </c>
      <c r="BI36" s="12">
        <v>16662</v>
      </c>
      <c r="BJ36" s="12"/>
      <c r="BK36" s="14" t="str">
        <f>VLOOKUP(Hoja1!$B36,Tabla2[[#All],[ID_TRANSACCION]],1,FALSE)</f>
        <v>BO_FS_202605192661004_29179752</v>
      </c>
    </row>
    <row r="37" spans="1:63" x14ac:dyDescent="0.25">
      <c r="A37" s="20" t="s">
        <v>192</v>
      </c>
      <c r="B37" s="16" t="s">
        <v>291</v>
      </c>
      <c r="C37" s="16">
        <v>29162779</v>
      </c>
      <c r="D37" s="16" t="s">
        <v>1</v>
      </c>
      <c r="E37" s="16" t="s">
        <v>192</v>
      </c>
      <c r="F37" s="16" t="s">
        <v>1</v>
      </c>
      <c r="G37" s="16" t="s">
        <v>1</v>
      </c>
      <c r="H37" s="16" t="s">
        <v>292</v>
      </c>
      <c r="I37" s="16">
        <v>2660360</v>
      </c>
      <c r="J37" s="16" t="s">
        <v>1</v>
      </c>
      <c r="K37" s="16" t="s">
        <v>293</v>
      </c>
      <c r="L37" s="16" t="s">
        <v>29</v>
      </c>
      <c r="M37" s="16" t="s">
        <v>192</v>
      </c>
      <c r="N37" s="16" t="s">
        <v>30</v>
      </c>
      <c r="O37" s="16" t="s">
        <v>6</v>
      </c>
      <c r="P37" s="16" t="s">
        <v>1</v>
      </c>
      <c r="Q37" s="16">
        <v>9</v>
      </c>
      <c r="R37" s="16" t="s">
        <v>294</v>
      </c>
      <c r="S37" s="16" t="s">
        <v>1</v>
      </c>
      <c r="T37" s="16" t="s">
        <v>1</v>
      </c>
      <c r="U37" s="16" t="s">
        <v>1</v>
      </c>
      <c r="V37" s="16" t="s">
        <v>8</v>
      </c>
      <c r="W37" s="16" t="s">
        <v>9</v>
      </c>
      <c r="X37" s="16" t="s">
        <v>10</v>
      </c>
      <c r="Y37" s="16" t="s">
        <v>1</v>
      </c>
      <c r="Z37" s="16" t="s">
        <v>11</v>
      </c>
      <c r="AA37" s="16" t="s">
        <v>1</v>
      </c>
      <c r="AB37" s="16" t="s">
        <v>1</v>
      </c>
      <c r="AC37" s="16" t="s">
        <v>1</v>
      </c>
      <c r="AD37" s="16" t="s">
        <v>1</v>
      </c>
      <c r="AE37" s="16" t="s">
        <v>1</v>
      </c>
      <c r="AF37" s="16" t="s">
        <v>1</v>
      </c>
      <c r="AG37" s="16" t="s">
        <v>1</v>
      </c>
      <c r="AH37" s="16" t="s">
        <v>12</v>
      </c>
      <c r="AI37" s="16" t="s">
        <v>37</v>
      </c>
      <c r="AJ37" s="16" t="s">
        <v>14</v>
      </c>
      <c r="AK37" s="16">
        <v>2660360</v>
      </c>
      <c r="AL37" s="16">
        <v>29162779</v>
      </c>
      <c r="AM37" s="16" t="s">
        <v>292</v>
      </c>
      <c r="AN37" s="16" t="s">
        <v>15</v>
      </c>
      <c r="AO37" s="16" t="s">
        <v>13</v>
      </c>
      <c r="AP37" s="16" t="s">
        <v>16</v>
      </c>
      <c r="AQ37" s="16" t="s">
        <v>37</v>
      </c>
      <c r="AR37" s="16" t="s">
        <v>17</v>
      </c>
      <c r="AS37" s="16" t="s">
        <v>10</v>
      </c>
      <c r="AT37" s="16" t="s">
        <v>31</v>
      </c>
      <c r="AU37" s="16" t="s">
        <v>19</v>
      </c>
      <c r="AV37" s="16" t="s">
        <v>192</v>
      </c>
      <c r="AW37" s="16" t="s">
        <v>295</v>
      </c>
      <c r="AX37" s="16">
        <v>202605</v>
      </c>
      <c r="AY37" s="16">
        <v>13</v>
      </c>
      <c r="AZ37" s="16" t="s">
        <v>192</v>
      </c>
      <c r="BA37" s="16" t="s">
        <v>296</v>
      </c>
      <c r="BB37" s="16" t="s">
        <v>297</v>
      </c>
      <c r="BC37" s="16" t="s">
        <v>298</v>
      </c>
      <c r="BD37" s="16" t="s">
        <v>22</v>
      </c>
      <c r="BE37" s="16">
        <v>3744</v>
      </c>
      <c r="BF37" s="16" t="s">
        <v>23</v>
      </c>
      <c r="BG37" s="16" t="s">
        <v>22</v>
      </c>
      <c r="BH37" s="16" t="s">
        <v>40</v>
      </c>
      <c r="BI37" s="16">
        <v>16693</v>
      </c>
      <c r="BJ37" s="16"/>
      <c r="BK37" s="18" t="str">
        <f>VLOOKUP(Hoja1!$B37,Tabla2[[#All],[ID_TRANSACCION]],1,FALSE)</f>
        <v>BO_FS_202605132660360_29162779</v>
      </c>
    </row>
    <row r="38" spans="1:63" x14ac:dyDescent="0.25">
      <c r="A38" s="19">
        <v>46361</v>
      </c>
      <c r="B38" s="12" t="s">
        <v>299</v>
      </c>
      <c r="C38" s="12">
        <v>29170502</v>
      </c>
      <c r="D38" s="12" t="s">
        <v>1</v>
      </c>
      <c r="E38" s="12" t="s">
        <v>192</v>
      </c>
      <c r="F38" s="12" t="s">
        <v>1</v>
      </c>
      <c r="G38" s="12" t="s">
        <v>1</v>
      </c>
      <c r="H38" s="12" t="s">
        <v>300</v>
      </c>
      <c r="I38" s="12">
        <v>2661514</v>
      </c>
      <c r="J38" s="12" t="s">
        <v>1</v>
      </c>
      <c r="K38" s="12" t="s">
        <v>301</v>
      </c>
      <c r="L38" s="12" t="s">
        <v>29</v>
      </c>
      <c r="M38" s="13">
        <v>46361</v>
      </c>
      <c r="N38" s="12" t="s">
        <v>30</v>
      </c>
      <c r="O38" s="12" t="s">
        <v>6</v>
      </c>
      <c r="P38" s="12" t="s">
        <v>1</v>
      </c>
      <c r="Q38" s="12">
        <v>10</v>
      </c>
      <c r="R38" s="12" t="s">
        <v>1</v>
      </c>
      <c r="S38" s="12" t="s">
        <v>1</v>
      </c>
      <c r="T38" s="12" t="s">
        <v>1</v>
      </c>
      <c r="U38" s="12" t="s">
        <v>1</v>
      </c>
      <c r="V38" s="12" t="s">
        <v>8</v>
      </c>
      <c r="W38" s="12" t="s">
        <v>9</v>
      </c>
      <c r="X38" s="12" t="s">
        <v>10</v>
      </c>
      <c r="Y38" s="12" t="s">
        <v>1</v>
      </c>
      <c r="Z38" s="12" t="s">
        <v>11</v>
      </c>
      <c r="AA38" s="12" t="s">
        <v>1</v>
      </c>
      <c r="AB38" s="12" t="s">
        <v>1</v>
      </c>
      <c r="AC38" s="12" t="s">
        <v>1</v>
      </c>
      <c r="AD38" s="12" t="s">
        <v>1</v>
      </c>
      <c r="AE38" s="12" t="s">
        <v>1</v>
      </c>
      <c r="AF38" s="12" t="s">
        <v>1</v>
      </c>
      <c r="AG38" s="12" t="s">
        <v>1</v>
      </c>
      <c r="AH38" s="12" t="s">
        <v>12</v>
      </c>
      <c r="AI38" s="12" t="s">
        <v>37</v>
      </c>
      <c r="AJ38" s="12" t="s">
        <v>14</v>
      </c>
      <c r="AK38" s="12">
        <v>2661514</v>
      </c>
      <c r="AL38" s="12">
        <v>29170502</v>
      </c>
      <c r="AM38" s="12" t="s">
        <v>300</v>
      </c>
      <c r="AN38" s="12" t="s">
        <v>15</v>
      </c>
      <c r="AO38" s="12" t="s">
        <v>13</v>
      </c>
      <c r="AP38" s="12" t="s">
        <v>16</v>
      </c>
      <c r="AQ38" s="12" t="s">
        <v>37</v>
      </c>
      <c r="AR38" s="12" t="s">
        <v>17</v>
      </c>
      <c r="AS38" s="12" t="s">
        <v>10</v>
      </c>
      <c r="AT38" s="12" t="s">
        <v>31</v>
      </c>
      <c r="AU38" s="12" t="s">
        <v>19</v>
      </c>
      <c r="AV38" s="13">
        <v>46361</v>
      </c>
      <c r="AW38" s="13">
        <v>46361.577592592592</v>
      </c>
      <c r="AX38" s="12">
        <v>202605</v>
      </c>
      <c r="AY38" s="12">
        <v>12</v>
      </c>
      <c r="AZ38" s="13">
        <v>46361</v>
      </c>
      <c r="BA38" s="13">
        <v>46361.68136574074</v>
      </c>
      <c r="BB38" s="12" t="s">
        <v>302</v>
      </c>
      <c r="BC38" s="12" t="s">
        <v>303</v>
      </c>
      <c r="BD38" s="12" t="s">
        <v>22</v>
      </c>
      <c r="BE38" s="12">
        <v>3744</v>
      </c>
      <c r="BF38" s="12" t="s">
        <v>23</v>
      </c>
      <c r="BG38" s="12" t="s">
        <v>22</v>
      </c>
      <c r="BH38" s="12" t="s">
        <v>40</v>
      </c>
      <c r="BI38" s="12">
        <v>16694</v>
      </c>
      <c r="BJ38" s="12" t="e">
        <f>CONS</f>
        <v>#NAME?</v>
      </c>
      <c r="BK38" s="14" t="str">
        <f>VLOOKUP(Hoja1!$B38,Tabla2[[#All],[ID_TRANSACCION]],1,FALSE)</f>
        <v>BO_FS_202605122661514_29170502</v>
      </c>
    </row>
    <row r="39" spans="1:63" x14ac:dyDescent="0.25">
      <c r="A39" s="20" t="s">
        <v>192</v>
      </c>
      <c r="B39" s="16" t="s">
        <v>304</v>
      </c>
      <c r="C39" s="16">
        <v>29169248</v>
      </c>
      <c r="D39" s="16" t="s">
        <v>1</v>
      </c>
      <c r="E39" s="16" t="s">
        <v>192</v>
      </c>
      <c r="F39" s="16" t="s">
        <v>1</v>
      </c>
      <c r="G39" s="16" t="s">
        <v>1</v>
      </c>
      <c r="H39" s="16" t="s">
        <v>305</v>
      </c>
      <c r="I39" s="16">
        <v>2661220</v>
      </c>
      <c r="J39" s="16" t="s">
        <v>1</v>
      </c>
      <c r="K39" s="16" t="s">
        <v>306</v>
      </c>
      <c r="L39" s="16" t="s">
        <v>29</v>
      </c>
      <c r="M39" s="16" t="s">
        <v>192</v>
      </c>
      <c r="N39" s="16" t="s">
        <v>30</v>
      </c>
      <c r="O39" s="16" t="s">
        <v>6</v>
      </c>
      <c r="P39" s="16" t="s">
        <v>1</v>
      </c>
      <c r="Q39" s="16">
        <v>10</v>
      </c>
      <c r="R39" s="16" t="s">
        <v>307</v>
      </c>
      <c r="S39" s="16" t="s">
        <v>1</v>
      </c>
      <c r="T39" s="16" t="s">
        <v>1</v>
      </c>
      <c r="U39" s="16" t="s">
        <v>1</v>
      </c>
      <c r="V39" s="16" t="s">
        <v>8</v>
      </c>
      <c r="W39" s="16" t="s">
        <v>9</v>
      </c>
      <c r="X39" s="16" t="s">
        <v>10</v>
      </c>
      <c r="Y39" s="16" t="s">
        <v>1</v>
      </c>
      <c r="Z39" s="16" t="s">
        <v>11</v>
      </c>
      <c r="AA39" s="16" t="s">
        <v>1</v>
      </c>
      <c r="AB39" s="16" t="s">
        <v>1</v>
      </c>
      <c r="AC39" s="16" t="s">
        <v>1</v>
      </c>
      <c r="AD39" s="16" t="s">
        <v>1</v>
      </c>
      <c r="AE39" s="16" t="s">
        <v>1</v>
      </c>
      <c r="AF39" s="16" t="s">
        <v>1</v>
      </c>
      <c r="AG39" s="16" t="s">
        <v>1</v>
      </c>
      <c r="AH39" s="16" t="s">
        <v>12</v>
      </c>
      <c r="AI39" s="16" t="s">
        <v>37</v>
      </c>
      <c r="AJ39" s="16" t="s">
        <v>14</v>
      </c>
      <c r="AK39" s="16">
        <v>2661220</v>
      </c>
      <c r="AL39" s="16">
        <v>29169248</v>
      </c>
      <c r="AM39" s="16" t="s">
        <v>305</v>
      </c>
      <c r="AN39" s="16" t="s">
        <v>15</v>
      </c>
      <c r="AO39" s="16" t="s">
        <v>13</v>
      </c>
      <c r="AP39" s="16" t="s">
        <v>16</v>
      </c>
      <c r="AQ39" s="16" t="s">
        <v>37</v>
      </c>
      <c r="AR39" s="16" t="s">
        <v>17</v>
      </c>
      <c r="AS39" s="16" t="s">
        <v>10</v>
      </c>
      <c r="AT39" s="16" t="s">
        <v>31</v>
      </c>
      <c r="AU39" s="16" t="s">
        <v>19</v>
      </c>
      <c r="AV39" s="17">
        <v>46361</v>
      </c>
      <c r="AW39" s="17">
        <v>46361.460335648146</v>
      </c>
      <c r="AX39" s="16">
        <v>202605</v>
      </c>
      <c r="AY39" s="16">
        <v>13</v>
      </c>
      <c r="AZ39" s="16" t="s">
        <v>192</v>
      </c>
      <c r="BA39" s="16" t="s">
        <v>308</v>
      </c>
      <c r="BB39" s="16" t="s">
        <v>108</v>
      </c>
      <c r="BC39" s="16" t="s">
        <v>309</v>
      </c>
      <c r="BD39" s="16" t="s">
        <v>22</v>
      </c>
      <c r="BE39" s="16">
        <v>3744</v>
      </c>
      <c r="BF39" s="16" t="s">
        <v>23</v>
      </c>
      <c r="BG39" s="16" t="s">
        <v>22</v>
      </c>
      <c r="BH39" s="16" t="s">
        <v>40</v>
      </c>
      <c r="BI39" s="16">
        <v>16695</v>
      </c>
      <c r="BJ39" s="16"/>
      <c r="BK39" s="18" t="str">
        <f>VLOOKUP(Hoja1!$B39,Tabla2[[#All],[ID_TRANSACCION]],1,FALSE)</f>
        <v>BO_FS_202605132661220_29169248</v>
      </c>
    </row>
    <row r="40" spans="1:63" x14ac:dyDescent="0.25">
      <c r="A40" s="19">
        <v>46361</v>
      </c>
      <c r="B40" s="12" t="s">
        <v>310</v>
      </c>
      <c r="C40" s="12">
        <v>29166472</v>
      </c>
      <c r="D40" s="12" t="s">
        <v>1</v>
      </c>
      <c r="E40" s="12" t="s">
        <v>192</v>
      </c>
      <c r="F40" s="12" t="s">
        <v>1</v>
      </c>
      <c r="G40" s="12" t="s">
        <v>1</v>
      </c>
      <c r="H40" s="12" t="s">
        <v>311</v>
      </c>
      <c r="I40" s="12">
        <v>2660805</v>
      </c>
      <c r="J40" s="12" t="s">
        <v>1</v>
      </c>
      <c r="K40" s="12" t="s">
        <v>312</v>
      </c>
      <c r="L40" s="12" t="s">
        <v>29</v>
      </c>
      <c r="M40" s="13">
        <v>46361</v>
      </c>
      <c r="N40" s="12" t="s">
        <v>30</v>
      </c>
      <c r="O40" s="12" t="s">
        <v>6</v>
      </c>
      <c r="P40" s="12" t="s">
        <v>1</v>
      </c>
      <c r="Q40" s="12">
        <v>9</v>
      </c>
      <c r="R40" s="12" t="s">
        <v>313</v>
      </c>
      <c r="S40" s="12" t="s">
        <v>1</v>
      </c>
      <c r="T40" s="12" t="s">
        <v>1</v>
      </c>
      <c r="U40" s="12" t="s">
        <v>1</v>
      </c>
      <c r="V40" s="12" t="s">
        <v>8</v>
      </c>
      <c r="W40" s="12" t="s">
        <v>9</v>
      </c>
      <c r="X40" s="12" t="s">
        <v>10</v>
      </c>
      <c r="Y40" s="12" t="s">
        <v>1</v>
      </c>
      <c r="Z40" s="12" t="s">
        <v>11</v>
      </c>
      <c r="AA40" s="12" t="s">
        <v>1</v>
      </c>
      <c r="AB40" s="12" t="s">
        <v>1</v>
      </c>
      <c r="AC40" s="12" t="s">
        <v>1</v>
      </c>
      <c r="AD40" s="12" t="s">
        <v>1</v>
      </c>
      <c r="AE40" s="12" t="s">
        <v>1</v>
      </c>
      <c r="AF40" s="12" t="s">
        <v>1</v>
      </c>
      <c r="AG40" s="12" t="s">
        <v>1</v>
      </c>
      <c r="AH40" s="12" t="s">
        <v>12</v>
      </c>
      <c r="AI40" s="12" t="s">
        <v>37</v>
      </c>
      <c r="AJ40" s="12" t="s">
        <v>14</v>
      </c>
      <c r="AK40" s="12">
        <v>2660805</v>
      </c>
      <c r="AL40" s="12">
        <v>29166472</v>
      </c>
      <c r="AM40" s="12" t="s">
        <v>311</v>
      </c>
      <c r="AN40" s="12" t="s">
        <v>15</v>
      </c>
      <c r="AO40" s="12" t="s">
        <v>13</v>
      </c>
      <c r="AP40" s="12" t="s">
        <v>16</v>
      </c>
      <c r="AQ40" s="12" t="s">
        <v>37</v>
      </c>
      <c r="AR40" s="12" t="s">
        <v>17</v>
      </c>
      <c r="AS40" s="12" t="s">
        <v>10</v>
      </c>
      <c r="AT40" s="12" t="s">
        <v>31</v>
      </c>
      <c r="AU40" s="12" t="s">
        <v>19</v>
      </c>
      <c r="AV40" s="13">
        <v>46300</v>
      </c>
      <c r="AW40" s="13">
        <v>46300.503622685188</v>
      </c>
      <c r="AX40" s="12">
        <v>202605</v>
      </c>
      <c r="AY40" s="12">
        <v>12</v>
      </c>
      <c r="AZ40" s="13">
        <v>46361</v>
      </c>
      <c r="BA40" s="13">
        <v>46361.621481481481</v>
      </c>
      <c r="BB40" s="12" t="s">
        <v>297</v>
      </c>
      <c r="BC40" s="12" t="s">
        <v>314</v>
      </c>
      <c r="BD40" s="12" t="s">
        <v>22</v>
      </c>
      <c r="BE40" s="12">
        <v>3744</v>
      </c>
      <c r="BF40" s="12" t="s">
        <v>23</v>
      </c>
      <c r="BG40" s="12" t="s">
        <v>22</v>
      </c>
      <c r="BH40" s="12" t="s">
        <v>40</v>
      </c>
      <c r="BI40" s="12">
        <v>16696</v>
      </c>
      <c r="BJ40" s="12" t="e">
        <f>CONS</f>
        <v>#NAME?</v>
      </c>
      <c r="BK40" s="14" t="str">
        <f>VLOOKUP(Hoja1!$B40,Tabla2[[#All],[ID_TRANSACCION]],1,FALSE)</f>
        <v>BO_FS_202605122660805_29166472</v>
      </c>
    </row>
    <row r="41" spans="1:63" x14ac:dyDescent="0.25">
      <c r="A41" s="15">
        <v>46361</v>
      </c>
      <c r="B41" s="16" t="s">
        <v>315</v>
      </c>
      <c r="C41" s="16">
        <v>29166307</v>
      </c>
      <c r="D41" s="16" t="s">
        <v>1</v>
      </c>
      <c r="E41" s="16" t="s">
        <v>192</v>
      </c>
      <c r="F41" s="16" t="s">
        <v>1</v>
      </c>
      <c r="G41" s="16" t="s">
        <v>1</v>
      </c>
      <c r="H41" s="16" t="s">
        <v>316</v>
      </c>
      <c r="I41" s="16">
        <v>2660786</v>
      </c>
      <c r="J41" s="16" t="s">
        <v>1</v>
      </c>
      <c r="K41" s="16" t="s">
        <v>317</v>
      </c>
      <c r="L41" s="16" t="s">
        <v>29</v>
      </c>
      <c r="M41" s="17">
        <v>46361</v>
      </c>
      <c r="N41" s="16" t="s">
        <v>30</v>
      </c>
      <c r="O41" s="16" t="s">
        <v>6</v>
      </c>
      <c r="P41" s="16" t="s">
        <v>1</v>
      </c>
      <c r="Q41" s="16">
        <v>10</v>
      </c>
      <c r="R41" s="16" t="s">
        <v>318</v>
      </c>
      <c r="S41" s="16" t="s">
        <v>1</v>
      </c>
      <c r="T41" s="16" t="s">
        <v>1</v>
      </c>
      <c r="U41" s="16" t="s">
        <v>1</v>
      </c>
      <c r="V41" s="16" t="s">
        <v>8</v>
      </c>
      <c r="W41" s="16" t="s">
        <v>9</v>
      </c>
      <c r="X41" s="16" t="s">
        <v>10</v>
      </c>
      <c r="Y41" s="16" t="s">
        <v>1</v>
      </c>
      <c r="Z41" s="16" t="s">
        <v>11</v>
      </c>
      <c r="AA41" s="16" t="s">
        <v>1</v>
      </c>
      <c r="AB41" s="16" t="s">
        <v>1</v>
      </c>
      <c r="AC41" s="16" t="s">
        <v>1</v>
      </c>
      <c r="AD41" s="16" t="s">
        <v>1</v>
      </c>
      <c r="AE41" s="16" t="s">
        <v>1</v>
      </c>
      <c r="AF41" s="16" t="s">
        <v>1</v>
      </c>
      <c r="AG41" s="16" t="s">
        <v>1</v>
      </c>
      <c r="AH41" s="16" t="s">
        <v>12</v>
      </c>
      <c r="AI41" s="16" t="s">
        <v>37</v>
      </c>
      <c r="AJ41" s="16" t="s">
        <v>14</v>
      </c>
      <c r="AK41" s="16">
        <v>2660786</v>
      </c>
      <c r="AL41" s="16">
        <v>29166307</v>
      </c>
      <c r="AM41" s="16" t="s">
        <v>316</v>
      </c>
      <c r="AN41" s="16" t="s">
        <v>15</v>
      </c>
      <c r="AO41" s="16" t="s">
        <v>13</v>
      </c>
      <c r="AP41" s="16" t="s">
        <v>16</v>
      </c>
      <c r="AQ41" s="16" t="s">
        <v>37</v>
      </c>
      <c r="AR41" s="16" t="s">
        <v>17</v>
      </c>
      <c r="AS41" s="16" t="s">
        <v>10</v>
      </c>
      <c r="AT41" s="16" t="s">
        <v>31</v>
      </c>
      <c r="AU41" s="16" t="s">
        <v>19</v>
      </c>
      <c r="AV41" s="17">
        <v>46300</v>
      </c>
      <c r="AW41" s="17">
        <v>46300.442430555559</v>
      </c>
      <c r="AX41" s="16">
        <v>202605</v>
      </c>
      <c r="AY41" s="16">
        <v>12</v>
      </c>
      <c r="AZ41" s="17">
        <v>46361</v>
      </c>
      <c r="BA41" s="17">
        <v>46361.439340277779</v>
      </c>
      <c r="BB41" s="16" t="s">
        <v>90</v>
      </c>
      <c r="BC41" s="16" t="s">
        <v>319</v>
      </c>
      <c r="BD41" s="16" t="s">
        <v>22</v>
      </c>
      <c r="BE41" s="16">
        <v>3744</v>
      </c>
      <c r="BF41" s="16" t="s">
        <v>23</v>
      </c>
      <c r="BG41" s="16" t="s">
        <v>22</v>
      </c>
      <c r="BH41" s="16" t="s">
        <v>40</v>
      </c>
      <c r="BI41" s="16">
        <v>16713</v>
      </c>
      <c r="BJ41" s="16" t="e">
        <f>CONS</f>
        <v>#NAME?</v>
      </c>
      <c r="BK41" s="18" t="str">
        <f>VLOOKUP(Hoja1!$B41,Tabla2[[#All],[ID_TRANSACCION]],1,FALSE)</f>
        <v>BO_FS_202605122660786_29166307</v>
      </c>
    </row>
    <row r="42" spans="1:63" x14ac:dyDescent="0.25">
      <c r="A42" s="19">
        <v>46361</v>
      </c>
      <c r="B42" s="12" t="s">
        <v>320</v>
      </c>
      <c r="C42" s="12">
        <v>29166247</v>
      </c>
      <c r="D42" s="12" t="s">
        <v>1</v>
      </c>
      <c r="E42" s="12" t="s">
        <v>192</v>
      </c>
      <c r="F42" s="12" t="s">
        <v>1</v>
      </c>
      <c r="G42" s="12" t="s">
        <v>1</v>
      </c>
      <c r="H42" s="12" t="s">
        <v>321</v>
      </c>
      <c r="I42" s="12">
        <v>2660779</v>
      </c>
      <c r="J42" s="12" t="s">
        <v>1</v>
      </c>
      <c r="K42" s="12" t="s">
        <v>322</v>
      </c>
      <c r="L42" s="12" t="s">
        <v>29</v>
      </c>
      <c r="M42" s="13">
        <v>46361</v>
      </c>
      <c r="N42" s="12" t="s">
        <v>30</v>
      </c>
      <c r="O42" s="12" t="s">
        <v>6</v>
      </c>
      <c r="P42" s="12" t="s">
        <v>1</v>
      </c>
      <c r="Q42" s="12">
        <v>10</v>
      </c>
      <c r="R42" s="12" t="s">
        <v>1</v>
      </c>
      <c r="S42" s="12" t="s">
        <v>1</v>
      </c>
      <c r="T42" s="12" t="s">
        <v>1</v>
      </c>
      <c r="U42" s="12" t="s">
        <v>1</v>
      </c>
      <c r="V42" s="12" t="s">
        <v>8</v>
      </c>
      <c r="W42" s="12" t="s">
        <v>9</v>
      </c>
      <c r="X42" s="12" t="s">
        <v>10</v>
      </c>
      <c r="Y42" s="12" t="s">
        <v>1</v>
      </c>
      <c r="Z42" s="12" t="s">
        <v>11</v>
      </c>
      <c r="AA42" s="12" t="s">
        <v>1</v>
      </c>
      <c r="AB42" s="12" t="s">
        <v>1</v>
      </c>
      <c r="AC42" s="12" t="s">
        <v>1</v>
      </c>
      <c r="AD42" s="12" t="s">
        <v>1</v>
      </c>
      <c r="AE42" s="12" t="s">
        <v>1</v>
      </c>
      <c r="AF42" s="12" t="s">
        <v>1</v>
      </c>
      <c r="AG42" s="12" t="s">
        <v>1</v>
      </c>
      <c r="AH42" s="12" t="s">
        <v>12</v>
      </c>
      <c r="AI42" s="12" t="s">
        <v>37</v>
      </c>
      <c r="AJ42" s="12" t="s">
        <v>14</v>
      </c>
      <c r="AK42" s="12">
        <v>2660779</v>
      </c>
      <c r="AL42" s="12">
        <v>29166247</v>
      </c>
      <c r="AM42" s="12" t="s">
        <v>321</v>
      </c>
      <c r="AN42" s="12" t="s">
        <v>15</v>
      </c>
      <c r="AO42" s="12" t="s">
        <v>13</v>
      </c>
      <c r="AP42" s="12" t="s">
        <v>16</v>
      </c>
      <c r="AQ42" s="12" t="s">
        <v>37</v>
      </c>
      <c r="AR42" s="12" t="s">
        <v>17</v>
      </c>
      <c r="AS42" s="12" t="s">
        <v>10</v>
      </c>
      <c r="AT42" s="12" t="s">
        <v>31</v>
      </c>
      <c r="AU42" s="12" t="s">
        <v>19</v>
      </c>
      <c r="AV42" s="13">
        <v>46300</v>
      </c>
      <c r="AW42" s="13">
        <v>46300.407754629632</v>
      </c>
      <c r="AX42" s="12">
        <v>202605</v>
      </c>
      <c r="AY42" s="12">
        <v>12</v>
      </c>
      <c r="AZ42" s="13">
        <v>46361</v>
      </c>
      <c r="BA42" s="13">
        <v>46361.438784722224</v>
      </c>
      <c r="BB42" s="12" t="s">
        <v>323</v>
      </c>
      <c r="BC42" s="12" t="s">
        <v>324</v>
      </c>
      <c r="BD42" s="12" t="s">
        <v>22</v>
      </c>
      <c r="BE42" s="12">
        <v>3744</v>
      </c>
      <c r="BF42" s="12" t="s">
        <v>23</v>
      </c>
      <c r="BG42" s="12" t="s">
        <v>22</v>
      </c>
      <c r="BH42" s="12" t="s">
        <v>40</v>
      </c>
      <c r="BI42" s="12">
        <v>16714</v>
      </c>
      <c r="BJ42" s="12" t="e">
        <f>CONS</f>
        <v>#NAME?</v>
      </c>
      <c r="BK42" s="14" t="str">
        <f>VLOOKUP(Hoja1!$B42,Tabla2[[#All],[ID_TRANSACCION]],1,FALSE)</f>
        <v>BO_FS_202605122660779_29166247</v>
      </c>
    </row>
    <row r="43" spans="1:63" x14ac:dyDescent="0.25">
      <c r="A43" s="20" t="s">
        <v>192</v>
      </c>
      <c r="B43" s="16" t="s">
        <v>325</v>
      </c>
      <c r="C43" s="16">
        <v>29122286</v>
      </c>
      <c r="D43" s="16" t="s">
        <v>1</v>
      </c>
      <c r="E43" s="16" t="s">
        <v>192</v>
      </c>
      <c r="F43" s="16" t="s">
        <v>1</v>
      </c>
      <c r="G43" s="16" t="s">
        <v>1</v>
      </c>
      <c r="H43" s="16" t="s">
        <v>326</v>
      </c>
      <c r="I43" s="16">
        <v>2657172</v>
      </c>
      <c r="J43" s="16" t="s">
        <v>1</v>
      </c>
      <c r="K43" s="16" t="s">
        <v>327</v>
      </c>
      <c r="L43" s="16" t="s">
        <v>29</v>
      </c>
      <c r="M43" s="16" t="s">
        <v>192</v>
      </c>
      <c r="N43" s="16" t="s">
        <v>30</v>
      </c>
      <c r="O43" s="16" t="s">
        <v>6</v>
      </c>
      <c r="P43" s="16" t="s">
        <v>1</v>
      </c>
      <c r="Q43" s="16">
        <v>10</v>
      </c>
      <c r="R43" s="16" t="s">
        <v>328</v>
      </c>
      <c r="S43" s="16" t="s">
        <v>1</v>
      </c>
      <c r="T43" s="16" t="s">
        <v>1</v>
      </c>
      <c r="U43" s="16" t="s">
        <v>1</v>
      </c>
      <c r="V43" s="16" t="s">
        <v>8</v>
      </c>
      <c r="W43" s="16" t="s">
        <v>9</v>
      </c>
      <c r="X43" s="16" t="s">
        <v>10</v>
      </c>
      <c r="Y43" s="16" t="s">
        <v>1</v>
      </c>
      <c r="Z43" s="16" t="s">
        <v>11</v>
      </c>
      <c r="AA43" s="16" t="s">
        <v>1</v>
      </c>
      <c r="AB43" s="16" t="s">
        <v>1</v>
      </c>
      <c r="AC43" s="16" t="s">
        <v>1</v>
      </c>
      <c r="AD43" s="16" t="s">
        <v>1</v>
      </c>
      <c r="AE43" s="16" t="s">
        <v>1</v>
      </c>
      <c r="AF43" s="16" t="s">
        <v>1</v>
      </c>
      <c r="AG43" s="16" t="s">
        <v>1</v>
      </c>
      <c r="AH43" s="16" t="s">
        <v>12</v>
      </c>
      <c r="AI43" s="16" t="s">
        <v>37</v>
      </c>
      <c r="AJ43" s="16" t="s">
        <v>14</v>
      </c>
      <c r="AK43" s="16">
        <v>2657172</v>
      </c>
      <c r="AL43" s="16">
        <v>29122286</v>
      </c>
      <c r="AM43" s="16" t="s">
        <v>326</v>
      </c>
      <c r="AN43" s="16" t="s">
        <v>15</v>
      </c>
      <c r="AO43" s="16" t="s">
        <v>13</v>
      </c>
      <c r="AP43" s="16" t="s">
        <v>16</v>
      </c>
      <c r="AQ43" s="16" t="s">
        <v>37</v>
      </c>
      <c r="AR43" s="16" t="s">
        <v>17</v>
      </c>
      <c r="AS43" s="16" t="s">
        <v>10</v>
      </c>
      <c r="AT43" s="16" t="s">
        <v>31</v>
      </c>
      <c r="AU43" s="16" t="s">
        <v>19</v>
      </c>
      <c r="AV43" s="17">
        <v>46300</v>
      </c>
      <c r="AW43" s="17">
        <v>46300.672650462962</v>
      </c>
      <c r="AX43" s="16">
        <v>202605</v>
      </c>
      <c r="AY43" s="16">
        <v>13</v>
      </c>
      <c r="AZ43" s="16" t="s">
        <v>192</v>
      </c>
      <c r="BA43" s="16" t="s">
        <v>329</v>
      </c>
      <c r="BB43" s="16" t="s">
        <v>108</v>
      </c>
      <c r="BC43" s="16" t="s">
        <v>330</v>
      </c>
      <c r="BD43" s="16" t="s">
        <v>22</v>
      </c>
      <c r="BE43" s="16">
        <v>3744</v>
      </c>
      <c r="BF43" s="16" t="s">
        <v>23</v>
      </c>
      <c r="BG43" s="16" t="s">
        <v>22</v>
      </c>
      <c r="BH43" s="16" t="s">
        <v>40</v>
      </c>
      <c r="BI43" s="16">
        <v>16715</v>
      </c>
      <c r="BJ43" s="16"/>
      <c r="BK43" s="18" t="str">
        <f>VLOOKUP(Hoja1!$B43,Tabla2[[#All],[ID_TRANSACCION]],1,FALSE)</f>
        <v>BO_FS_202605132657172_29122286</v>
      </c>
    </row>
    <row r="44" spans="1:63" x14ac:dyDescent="0.25">
      <c r="A44" s="11" t="s">
        <v>192</v>
      </c>
      <c r="B44" s="12" t="s">
        <v>331</v>
      </c>
      <c r="C44" s="12">
        <v>29172091</v>
      </c>
      <c r="D44" s="12" t="s">
        <v>1</v>
      </c>
      <c r="E44" s="12" t="s">
        <v>192</v>
      </c>
      <c r="F44" s="12" t="s">
        <v>1</v>
      </c>
      <c r="G44" s="12" t="s">
        <v>1</v>
      </c>
      <c r="H44" s="12" t="s">
        <v>332</v>
      </c>
      <c r="I44" s="12">
        <v>2661737</v>
      </c>
      <c r="J44" s="12" t="s">
        <v>1</v>
      </c>
      <c r="K44" s="12" t="s">
        <v>333</v>
      </c>
      <c r="L44" s="12" t="s">
        <v>29</v>
      </c>
      <c r="M44" s="12" t="s">
        <v>192</v>
      </c>
      <c r="N44" s="12" t="s">
        <v>30</v>
      </c>
      <c r="O44" s="12" t="s">
        <v>6</v>
      </c>
      <c r="P44" s="12" t="s">
        <v>1</v>
      </c>
      <c r="Q44" s="12">
        <v>10</v>
      </c>
      <c r="R44" s="12" t="s">
        <v>334</v>
      </c>
      <c r="S44" s="12" t="s">
        <v>1</v>
      </c>
      <c r="T44" s="12" t="s">
        <v>1</v>
      </c>
      <c r="U44" s="12" t="s">
        <v>1</v>
      </c>
      <c r="V44" s="12" t="s">
        <v>8</v>
      </c>
      <c r="W44" s="12" t="s">
        <v>9</v>
      </c>
      <c r="X44" s="12" t="s">
        <v>10</v>
      </c>
      <c r="Y44" s="12" t="s">
        <v>1</v>
      </c>
      <c r="Z44" s="12" t="s">
        <v>11</v>
      </c>
      <c r="AA44" s="12" t="s">
        <v>1</v>
      </c>
      <c r="AB44" s="12" t="s">
        <v>1</v>
      </c>
      <c r="AC44" s="12" t="s">
        <v>1</v>
      </c>
      <c r="AD44" s="12" t="s">
        <v>1</v>
      </c>
      <c r="AE44" s="12" t="s">
        <v>1</v>
      </c>
      <c r="AF44" s="12" t="s">
        <v>1</v>
      </c>
      <c r="AG44" s="12" t="s">
        <v>1</v>
      </c>
      <c r="AH44" s="12" t="s">
        <v>12</v>
      </c>
      <c r="AI44" s="12" t="s">
        <v>37</v>
      </c>
      <c r="AJ44" s="12" t="s">
        <v>14</v>
      </c>
      <c r="AK44" s="12">
        <v>2661737</v>
      </c>
      <c r="AL44" s="12">
        <v>29172091</v>
      </c>
      <c r="AM44" s="12" t="s">
        <v>332</v>
      </c>
      <c r="AN44" s="12" t="s">
        <v>15</v>
      </c>
      <c r="AO44" s="12" t="s">
        <v>13</v>
      </c>
      <c r="AP44" s="12" t="s">
        <v>16</v>
      </c>
      <c r="AQ44" s="12" t="s">
        <v>37</v>
      </c>
      <c r="AR44" s="12" t="s">
        <v>17</v>
      </c>
      <c r="AS44" s="12" t="s">
        <v>10</v>
      </c>
      <c r="AT44" s="12" t="s">
        <v>31</v>
      </c>
      <c r="AU44" s="12" t="s">
        <v>19</v>
      </c>
      <c r="AV44" s="13">
        <v>46361</v>
      </c>
      <c r="AW44" s="13">
        <v>46361.725231481483</v>
      </c>
      <c r="AX44" s="12">
        <v>202605</v>
      </c>
      <c r="AY44" s="12">
        <v>13</v>
      </c>
      <c r="AZ44" s="12" t="s">
        <v>192</v>
      </c>
      <c r="BA44" s="12" t="s">
        <v>335</v>
      </c>
      <c r="BB44" s="12" t="s">
        <v>38</v>
      </c>
      <c r="BC44" s="12" t="s">
        <v>336</v>
      </c>
      <c r="BD44" s="12" t="s">
        <v>22</v>
      </c>
      <c r="BE44" s="12">
        <v>3744</v>
      </c>
      <c r="BF44" s="12" t="s">
        <v>23</v>
      </c>
      <c r="BG44" s="12" t="s">
        <v>22</v>
      </c>
      <c r="BH44" s="12" t="s">
        <v>40</v>
      </c>
      <c r="BI44" s="12">
        <v>16716</v>
      </c>
      <c r="BJ44" s="12"/>
      <c r="BK44" s="14" t="str">
        <f>VLOOKUP(Hoja1!$B44,Tabla2[[#All],[ID_TRANSACCION]],1,FALSE)</f>
        <v>BO_FS_202605132661737_29172091</v>
      </c>
    </row>
    <row r="45" spans="1:63" x14ac:dyDescent="0.25">
      <c r="A45" s="20" t="s">
        <v>338</v>
      </c>
      <c r="B45" s="16" t="s">
        <v>339</v>
      </c>
      <c r="C45" s="16">
        <v>29212416</v>
      </c>
      <c r="D45" s="16" t="s">
        <v>1</v>
      </c>
      <c r="E45" s="16" t="s">
        <v>338</v>
      </c>
      <c r="F45" s="16" t="s">
        <v>1</v>
      </c>
      <c r="G45" s="16" t="s">
        <v>1</v>
      </c>
      <c r="H45" s="16" t="s">
        <v>340</v>
      </c>
      <c r="I45" s="16">
        <v>2667547</v>
      </c>
      <c r="J45" s="16" t="s">
        <v>1</v>
      </c>
      <c r="K45" s="16" t="s">
        <v>341</v>
      </c>
      <c r="L45" s="16" t="s">
        <v>29</v>
      </c>
      <c r="M45" s="16" t="s">
        <v>338</v>
      </c>
      <c r="N45" s="16" t="s">
        <v>30</v>
      </c>
      <c r="O45" s="16" t="s">
        <v>6</v>
      </c>
      <c r="P45" s="16" t="s">
        <v>1</v>
      </c>
      <c r="Q45" s="16">
        <v>10</v>
      </c>
      <c r="R45" s="16" t="s">
        <v>1</v>
      </c>
      <c r="S45" s="16" t="s">
        <v>1</v>
      </c>
      <c r="T45" s="16" t="s">
        <v>1</v>
      </c>
      <c r="U45" s="16" t="s">
        <v>1</v>
      </c>
      <c r="V45" s="16" t="s">
        <v>8</v>
      </c>
      <c r="W45" s="16" t="s">
        <v>9</v>
      </c>
      <c r="X45" s="16" t="s">
        <v>10</v>
      </c>
      <c r="Y45" s="16" t="s">
        <v>1</v>
      </c>
      <c r="Z45" s="16" t="s">
        <v>11</v>
      </c>
      <c r="AA45" s="16" t="s">
        <v>1</v>
      </c>
      <c r="AB45" s="16" t="s">
        <v>1</v>
      </c>
      <c r="AC45" s="16" t="s">
        <v>1</v>
      </c>
      <c r="AD45" s="16" t="s">
        <v>1</v>
      </c>
      <c r="AE45" s="16" t="s">
        <v>1</v>
      </c>
      <c r="AF45" s="16" t="s">
        <v>1</v>
      </c>
      <c r="AG45" s="16" t="s">
        <v>1</v>
      </c>
      <c r="AH45" s="16" t="s">
        <v>12</v>
      </c>
      <c r="AI45" s="16" t="s">
        <v>37</v>
      </c>
      <c r="AJ45" s="16" t="s">
        <v>14</v>
      </c>
      <c r="AK45" s="16">
        <v>2667547</v>
      </c>
      <c r="AL45" s="16">
        <v>29212416</v>
      </c>
      <c r="AM45" s="16" t="s">
        <v>340</v>
      </c>
      <c r="AN45" s="16" t="s">
        <v>15</v>
      </c>
      <c r="AO45" s="16" t="s">
        <v>13</v>
      </c>
      <c r="AP45" s="16" t="s">
        <v>16</v>
      </c>
      <c r="AQ45" s="16" t="s">
        <v>37</v>
      </c>
      <c r="AR45" s="16" t="s">
        <v>17</v>
      </c>
      <c r="AS45" s="16" t="s">
        <v>10</v>
      </c>
      <c r="AT45" s="16" t="s">
        <v>31</v>
      </c>
      <c r="AU45" s="16" t="s">
        <v>19</v>
      </c>
      <c r="AV45" s="16" t="s">
        <v>215</v>
      </c>
      <c r="AW45" s="16" t="s">
        <v>342</v>
      </c>
      <c r="AX45" s="16">
        <v>202605</v>
      </c>
      <c r="AY45" s="16">
        <v>26</v>
      </c>
      <c r="AZ45" s="16" t="s">
        <v>338</v>
      </c>
      <c r="BA45" s="16" t="s">
        <v>343</v>
      </c>
      <c r="BB45" s="16" t="s">
        <v>344</v>
      </c>
      <c r="BC45" s="16" t="s">
        <v>345</v>
      </c>
      <c r="BD45" s="16" t="s">
        <v>22</v>
      </c>
      <c r="BE45" s="16">
        <v>3744</v>
      </c>
      <c r="BF45" s="16" t="s">
        <v>23</v>
      </c>
      <c r="BG45" s="16" t="s">
        <v>22</v>
      </c>
      <c r="BH45" s="16" t="s">
        <v>337</v>
      </c>
      <c r="BI45" s="16">
        <v>17179</v>
      </c>
      <c r="BJ45" s="16"/>
      <c r="BK45" s="18" t="str">
        <f>VLOOKUP(Hoja1!$B45,Tabla2[[#All],[ID_TRANSACCION]],1,FALSE)</f>
        <v>BO_FS_202605262667547_29212416</v>
      </c>
    </row>
    <row r="46" spans="1:63" x14ac:dyDescent="0.25">
      <c r="A46" s="11" t="s">
        <v>338</v>
      </c>
      <c r="B46" s="12" t="s">
        <v>346</v>
      </c>
      <c r="C46" s="12">
        <v>29216737</v>
      </c>
      <c r="D46" s="12" t="s">
        <v>1</v>
      </c>
      <c r="E46" s="12" t="s">
        <v>338</v>
      </c>
      <c r="F46" s="12" t="s">
        <v>1</v>
      </c>
      <c r="G46" s="12" t="s">
        <v>1</v>
      </c>
      <c r="H46" s="12" t="s">
        <v>347</v>
      </c>
      <c r="I46" s="12">
        <v>2668153</v>
      </c>
      <c r="J46" s="12" t="s">
        <v>1</v>
      </c>
      <c r="K46" s="12" t="s">
        <v>127</v>
      </c>
      <c r="L46" s="12" t="s">
        <v>29</v>
      </c>
      <c r="M46" s="12" t="s">
        <v>338</v>
      </c>
      <c r="N46" s="12" t="s">
        <v>30</v>
      </c>
      <c r="O46" s="12" t="s">
        <v>6</v>
      </c>
      <c r="P46" s="12" t="s">
        <v>1</v>
      </c>
      <c r="Q46" s="12">
        <v>9</v>
      </c>
      <c r="R46" s="12" t="s">
        <v>348</v>
      </c>
      <c r="S46" s="12" t="s">
        <v>1</v>
      </c>
      <c r="T46" s="12" t="s">
        <v>1</v>
      </c>
      <c r="U46" s="12" t="s">
        <v>1</v>
      </c>
      <c r="V46" s="12" t="s">
        <v>8</v>
      </c>
      <c r="W46" s="12" t="s">
        <v>9</v>
      </c>
      <c r="X46" s="12" t="s">
        <v>10</v>
      </c>
      <c r="Y46" s="12" t="s">
        <v>1</v>
      </c>
      <c r="Z46" s="12" t="s">
        <v>11</v>
      </c>
      <c r="AA46" s="12" t="s">
        <v>1</v>
      </c>
      <c r="AB46" s="12" t="s">
        <v>1</v>
      </c>
      <c r="AC46" s="12" t="s">
        <v>1</v>
      </c>
      <c r="AD46" s="12" t="s">
        <v>1</v>
      </c>
      <c r="AE46" s="12" t="s">
        <v>1</v>
      </c>
      <c r="AF46" s="12" t="s">
        <v>1</v>
      </c>
      <c r="AG46" s="12" t="s">
        <v>1</v>
      </c>
      <c r="AH46" s="12" t="s">
        <v>12</v>
      </c>
      <c r="AI46" s="12" t="s">
        <v>37</v>
      </c>
      <c r="AJ46" s="12" t="s">
        <v>14</v>
      </c>
      <c r="AK46" s="12">
        <v>2668153</v>
      </c>
      <c r="AL46" s="12">
        <v>29216737</v>
      </c>
      <c r="AM46" s="12" t="s">
        <v>347</v>
      </c>
      <c r="AN46" s="12" t="s">
        <v>15</v>
      </c>
      <c r="AO46" s="12" t="s">
        <v>13</v>
      </c>
      <c r="AP46" s="12" t="s">
        <v>16</v>
      </c>
      <c r="AQ46" s="12" t="s">
        <v>37</v>
      </c>
      <c r="AR46" s="12" t="s">
        <v>17</v>
      </c>
      <c r="AS46" s="12" t="s">
        <v>10</v>
      </c>
      <c r="AT46" s="12" t="s">
        <v>31</v>
      </c>
      <c r="AU46" s="12" t="s">
        <v>19</v>
      </c>
      <c r="AV46" s="12" t="s">
        <v>349</v>
      </c>
      <c r="AW46" s="12" t="s">
        <v>350</v>
      </c>
      <c r="AX46" s="12">
        <v>202605</v>
      </c>
      <c r="AY46" s="12">
        <v>26</v>
      </c>
      <c r="AZ46" s="12" t="s">
        <v>338</v>
      </c>
      <c r="BA46" s="12" t="s">
        <v>351</v>
      </c>
      <c r="BB46" s="12" t="s">
        <v>352</v>
      </c>
      <c r="BC46" s="12" t="s">
        <v>353</v>
      </c>
      <c r="BD46" s="12" t="s">
        <v>22</v>
      </c>
      <c r="BE46" s="12">
        <v>3744</v>
      </c>
      <c r="BF46" s="12" t="s">
        <v>23</v>
      </c>
      <c r="BG46" s="12" t="s">
        <v>22</v>
      </c>
      <c r="BH46" s="12" t="s">
        <v>337</v>
      </c>
      <c r="BI46" s="12">
        <v>17180</v>
      </c>
      <c r="BJ46" s="12"/>
      <c r="BK46" s="14" t="str">
        <f>VLOOKUP(Hoja1!$B46,Tabla2[[#All],[ID_TRANSACCION]],1,FALSE)</f>
        <v>BO_FS_202605262668153_29216737</v>
      </c>
    </row>
    <row r="47" spans="1:63" x14ac:dyDescent="0.25">
      <c r="A47" s="20" t="s">
        <v>338</v>
      </c>
      <c r="B47" s="16" t="s">
        <v>354</v>
      </c>
      <c r="C47" s="16">
        <v>29203571</v>
      </c>
      <c r="D47" s="16" t="s">
        <v>1</v>
      </c>
      <c r="E47" s="16" t="s">
        <v>338</v>
      </c>
      <c r="F47" s="16" t="s">
        <v>1</v>
      </c>
      <c r="G47" s="16" t="s">
        <v>1</v>
      </c>
      <c r="H47" s="16" t="s">
        <v>355</v>
      </c>
      <c r="I47" s="16">
        <v>2666194</v>
      </c>
      <c r="J47" s="16" t="s">
        <v>1</v>
      </c>
      <c r="K47" s="16" t="s">
        <v>356</v>
      </c>
      <c r="L47" s="16" t="s">
        <v>29</v>
      </c>
      <c r="M47" s="16" t="s">
        <v>338</v>
      </c>
      <c r="N47" s="16" t="s">
        <v>30</v>
      </c>
      <c r="O47" s="16" t="s">
        <v>6</v>
      </c>
      <c r="P47" s="16" t="s">
        <v>1</v>
      </c>
      <c r="Q47" s="16">
        <v>10</v>
      </c>
      <c r="R47" s="16" t="s">
        <v>357</v>
      </c>
      <c r="S47" s="16" t="s">
        <v>1</v>
      </c>
      <c r="T47" s="16" t="s">
        <v>1</v>
      </c>
      <c r="U47" s="16" t="s">
        <v>1</v>
      </c>
      <c r="V47" s="16" t="s">
        <v>8</v>
      </c>
      <c r="W47" s="16" t="s">
        <v>9</v>
      </c>
      <c r="X47" s="16" t="s">
        <v>10</v>
      </c>
      <c r="Y47" s="16" t="s">
        <v>1</v>
      </c>
      <c r="Z47" s="16" t="s">
        <v>11</v>
      </c>
      <c r="AA47" s="16" t="s">
        <v>1</v>
      </c>
      <c r="AB47" s="16" t="s">
        <v>1</v>
      </c>
      <c r="AC47" s="16" t="s">
        <v>1</v>
      </c>
      <c r="AD47" s="16" t="s">
        <v>1</v>
      </c>
      <c r="AE47" s="16" t="s">
        <v>1</v>
      </c>
      <c r="AF47" s="16" t="s">
        <v>1</v>
      </c>
      <c r="AG47" s="16" t="s">
        <v>1</v>
      </c>
      <c r="AH47" s="16" t="s">
        <v>12</v>
      </c>
      <c r="AI47" s="16" t="s">
        <v>37</v>
      </c>
      <c r="AJ47" s="16" t="s">
        <v>14</v>
      </c>
      <c r="AK47" s="16">
        <v>2666194</v>
      </c>
      <c r="AL47" s="16">
        <v>29203571</v>
      </c>
      <c r="AM47" s="16" t="s">
        <v>358</v>
      </c>
      <c r="AN47" s="16" t="s">
        <v>15</v>
      </c>
      <c r="AO47" s="16" t="s">
        <v>13</v>
      </c>
      <c r="AP47" s="16" t="s">
        <v>16</v>
      </c>
      <c r="AQ47" s="16" t="s">
        <v>37</v>
      </c>
      <c r="AR47" s="16" t="s">
        <v>17</v>
      </c>
      <c r="AS47" s="16" t="s">
        <v>10</v>
      </c>
      <c r="AT47" s="16" t="s">
        <v>31</v>
      </c>
      <c r="AU47" s="16" t="s">
        <v>19</v>
      </c>
      <c r="AV47" s="16" t="s">
        <v>349</v>
      </c>
      <c r="AW47" s="16" t="s">
        <v>359</v>
      </c>
      <c r="AX47" s="16">
        <v>202605</v>
      </c>
      <c r="AY47" s="16">
        <v>26</v>
      </c>
      <c r="AZ47" s="16" t="s">
        <v>338</v>
      </c>
      <c r="BA47" s="16" t="s">
        <v>360</v>
      </c>
      <c r="BB47" s="16" t="s">
        <v>361</v>
      </c>
      <c r="BC47" s="16" t="s">
        <v>362</v>
      </c>
      <c r="BD47" s="16" t="s">
        <v>22</v>
      </c>
      <c r="BE47" s="16">
        <v>3744</v>
      </c>
      <c r="BF47" s="16" t="s">
        <v>23</v>
      </c>
      <c r="BG47" s="16" t="s">
        <v>22</v>
      </c>
      <c r="BH47" s="16" t="s">
        <v>337</v>
      </c>
      <c r="BI47" s="16">
        <v>17181</v>
      </c>
      <c r="BJ47" s="16"/>
      <c r="BK47" s="18" t="str">
        <f>VLOOKUP(Hoja1!$B47,Tabla2[[#All],[ID_TRANSACCION]],1,FALSE)</f>
        <v>BO_FS_202605262666194_29203571</v>
      </c>
    </row>
    <row r="48" spans="1:63" x14ac:dyDescent="0.25">
      <c r="A48" s="11" t="s">
        <v>349</v>
      </c>
      <c r="B48" s="12" t="s">
        <v>363</v>
      </c>
      <c r="C48" s="12">
        <v>29212288</v>
      </c>
      <c r="D48" s="12" t="s">
        <v>1</v>
      </c>
      <c r="E48" s="12" t="s">
        <v>338</v>
      </c>
      <c r="F48" s="12" t="s">
        <v>1</v>
      </c>
      <c r="G48" s="12" t="s">
        <v>1</v>
      </c>
      <c r="H48" s="12" t="s">
        <v>364</v>
      </c>
      <c r="I48" s="12">
        <v>2667525</v>
      </c>
      <c r="J48" s="12" t="s">
        <v>1</v>
      </c>
      <c r="K48" s="12" t="s">
        <v>365</v>
      </c>
      <c r="L48" s="12" t="s">
        <v>29</v>
      </c>
      <c r="M48" s="12" t="s">
        <v>349</v>
      </c>
      <c r="N48" s="12" t="s">
        <v>30</v>
      </c>
      <c r="O48" s="12" t="s">
        <v>6</v>
      </c>
      <c r="P48" s="12" t="s">
        <v>1</v>
      </c>
      <c r="Q48" s="12">
        <v>10</v>
      </c>
      <c r="R48" s="12" t="s">
        <v>366</v>
      </c>
      <c r="S48" s="12" t="s">
        <v>1</v>
      </c>
      <c r="T48" s="12" t="s">
        <v>1</v>
      </c>
      <c r="U48" s="12" t="s">
        <v>1</v>
      </c>
      <c r="V48" s="12" t="s">
        <v>8</v>
      </c>
      <c r="W48" s="12" t="s">
        <v>9</v>
      </c>
      <c r="X48" s="12" t="s">
        <v>10</v>
      </c>
      <c r="Y48" s="12" t="s">
        <v>1</v>
      </c>
      <c r="Z48" s="12" t="s">
        <v>11</v>
      </c>
      <c r="AA48" s="12" t="s">
        <v>1</v>
      </c>
      <c r="AB48" s="12" t="s">
        <v>1</v>
      </c>
      <c r="AC48" s="12" t="s">
        <v>1</v>
      </c>
      <c r="AD48" s="12" t="s">
        <v>1</v>
      </c>
      <c r="AE48" s="12" t="s">
        <v>1</v>
      </c>
      <c r="AF48" s="12" t="s">
        <v>1</v>
      </c>
      <c r="AG48" s="12" t="s">
        <v>1</v>
      </c>
      <c r="AH48" s="12" t="s">
        <v>12</v>
      </c>
      <c r="AI48" s="12" t="s">
        <v>37</v>
      </c>
      <c r="AJ48" s="12" t="s">
        <v>14</v>
      </c>
      <c r="AK48" s="12">
        <v>2667525</v>
      </c>
      <c r="AL48" s="12">
        <v>29212288</v>
      </c>
      <c r="AM48" s="12" t="s">
        <v>364</v>
      </c>
      <c r="AN48" s="12" t="s">
        <v>15</v>
      </c>
      <c r="AO48" s="12" t="s">
        <v>13</v>
      </c>
      <c r="AP48" s="12" t="s">
        <v>16</v>
      </c>
      <c r="AQ48" s="12" t="s">
        <v>37</v>
      </c>
      <c r="AR48" s="12" t="s">
        <v>17</v>
      </c>
      <c r="AS48" s="12" t="s">
        <v>10</v>
      </c>
      <c r="AT48" s="12" t="s">
        <v>31</v>
      </c>
      <c r="AU48" s="12" t="s">
        <v>19</v>
      </c>
      <c r="AV48" s="12" t="s">
        <v>215</v>
      </c>
      <c r="AW48" s="12" t="s">
        <v>367</v>
      </c>
      <c r="AX48" s="12">
        <v>202605</v>
      </c>
      <c r="AY48" s="12">
        <v>25</v>
      </c>
      <c r="AZ48" s="12" t="s">
        <v>349</v>
      </c>
      <c r="BA48" s="12" t="s">
        <v>368</v>
      </c>
      <c r="BB48" s="12" t="s">
        <v>369</v>
      </c>
      <c r="BC48" s="12" t="s">
        <v>370</v>
      </c>
      <c r="BD48" s="12" t="s">
        <v>22</v>
      </c>
      <c r="BE48" s="12">
        <v>3744</v>
      </c>
      <c r="BF48" s="12" t="s">
        <v>23</v>
      </c>
      <c r="BG48" s="12" t="s">
        <v>22</v>
      </c>
      <c r="BH48" s="12" t="s">
        <v>337</v>
      </c>
      <c r="BI48" s="12">
        <v>17182</v>
      </c>
      <c r="BJ48" s="12"/>
      <c r="BK48" s="14" t="str">
        <f>VLOOKUP(Hoja1!$B48,Tabla2[[#All],[ID_TRANSACCION]],1,FALSE)</f>
        <v>BO_FS_202605252667525_29212288</v>
      </c>
    </row>
    <row r="49" spans="1:63" x14ac:dyDescent="0.25">
      <c r="A49" s="20" t="s">
        <v>338</v>
      </c>
      <c r="B49" s="16" t="s">
        <v>371</v>
      </c>
      <c r="C49" s="16">
        <v>29216520</v>
      </c>
      <c r="D49" s="16" t="s">
        <v>1</v>
      </c>
      <c r="E49" s="16" t="s">
        <v>338</v>
      </c>
      <c r="F49" s="16" t="s">
        <v>1</v>
      </c>
      <c r="G49" s="16" t="s">
        <v>1</v>
      </c>
      <c r="H49" s="16" t="s">
        <v>372</v>
      </c>
      <c r="I49" s="16">
        <v>2668114</v>
      </c>
      <c r="J49" s="16" t="s">
        <v>1</v>
      </c>
      <c r="K49" s="16" t="s">
        <v>373</v>
      </c>
      <c r="L49" s="16" t="s">
        <v>29</v>
      </c>
      <c r="M49" s="16" t="s">
        <v>338</v>
      </c>
      <c r="N49" s="16" t="s">
        <v>30</v>
      </c>
      <c r="O49" s="16" t="s">
        <v>6</v>
      </c>
      <c r="P49" s="16" t="s">
        <v>1</v>
      </c>
      <c r="Q49" s="16">
        <v>10</v>
      </c>
      <c r="R49" s="16" t="s">
        <v>374</v>
      </c>
      <c r="S49" s="16" t="s">
        <v>1</v>
      </c>
      <c r="T49" s="16" t="s">
        <v>1</v>
      </c>
      <c r="U49" s="16" t="s">
        <v>1</v>
      </c>
      <c r="V49" s="16" t="s">
        <v>8</v>
      </c>
      <c r="W49" s="16" t="s">
        <v>9</v>
      </c>
      <c r="X49" s="16" t="s">
        <v>10</v>
      </c>
      <c r="Y49" s="16" t="s">
        <v>1</v>
      </c>
      <c r="Z49" s="16" t="s">
        <v>11</v>
      </c>
      <c r="AA49" s="16" t="s">
        <v>1</v>
      </c>
      <c r="AB49" s="16" t="s">
        <v>1</v>
      </c>
      <c r="AC49" s="16" t="s">
        <v>1</v>
      </c>
      <c r="AD49" s="16" t="s">
        <v>1</v>
      </c>
      <c r="AE49" s="16" t="s">
        <v>1</v>
      </c>
      <c r="AF49" s="16" t="s">
        <v>1</v>
      </c>
      <c r="AG49" s="16" t="s">
        <v>1</v>
      </c>
      <c r="AH49" s="16" t="s">
        <v>12</v>
      </c>
      <c r="AI49" s="16" t="s">
        <v>37</v>
      </c>
      <c r="AJ49" s="16" t="s">
        <v>14</v>
      </c>
      <c r="AK49" s="16">
        <v>2668114</v>
      </c>
      <c r="AL49" s="16">
        <v>29216520</v>
      </c>
      <c r="AM49" s="16" t="s">
        <v>372</v>
      </c>
      <c r="AN49" s="16" t="s">
        <v>15</v>
      </c>
      <c r="AO49" s="16" t="s">
        <v>13</v>
      </c>
      <c r="AP49" s="16" t="s">
        <v>16</v>
      </c>
      <c r="AQ49" s="16" t="s">
        <v>37</v>
      </c>
      <c r="AR49" s="16" t="s">
        <v>17</v>
      </c>
      <c r="AS49" s="16" t="s">
        <v>10</v>
      </c>
      <c r="AT49" s="16" t="s">
        <v>31</v>
      </c>
      <c r="AU49" s="16" t="s">
        <v>19</v>
      </c>
      <c r="AV49" s="16" t="s">
        <v>349</v>
      </c>
      <c r="AW49" s="16" t="s">
        <v>375</v>
      </c>
      <c r="AX49" s="16">
        <v>202605</v>
      </c>
      <c r="AY49" s="16">
        <v>26</v>
      </c>
      <c r="AZ49" s="16" t="s">
        <v>338</v>
      </c>
      <c r="BA49" s="16" t="s">
        <v>376</v>
      </c>
      <c r="BB49" s="16" t="s">
        <v>211</v>
      </c>
      <c r="BC49" s="16" t="s">
        <v>377</v>
      </c>
      <c r="BD49" s="16" t="s">
        <v>22</v>
      </c>
      <c r="BE49" s="16">
        <v>3744</v>
      </c>
      <c r="BF49" s="16" t="s">
        <v>23</v>
      </c>
      <c r="BG49" s="16" t="s">
        <v>22</v>
      </c>
      <c r="BH49" s="16" t="s">
        <v>337</v>
      </c>
      <c r="BI49" s="16">
        <v>17183</v>
      </c>
      <c r="BJ49" s="16"/>
      <c r="BK49" s="18" t="str">
        <f>VLOOKUP(Hoja1!$B49,Tabla2[[#All],[ID_TRANSACCION]],1,FALSE)</f>
        <v>BO_FS_202605262668114_29216520</v>
      </c>
    </row>
    <row r="50" spans="1:63" x14ac:dyDescent="0.25">
      <c r="A50" s="11" t="s">
        <v>349</v>
      </c>
      <c r="B50" s="12" t="s">
        <v>378</v>
      </c>
      <c r="C50" s="12">
        <v>29214798</v>
      </c>
      <c r="D50" s="12" t="s">
        <v>1</v>
      </c>
      <c r="E50" s="12" t="s">
        <v>338</v>
      </c>
      <c r="F50" s="12" t="s">
        <v>1</v>
      </c>
      <c r="G50" s="12" t="s">
        <v>1</v>
      </c>
      <c r="H50" s="12" t="s">
        <v>379</v>
      </c>
      <c r="I50" s="12">
        <v>2667851</v>
      </c>
      <c r="J50" s="12" t="s">
        <v>1</v>
      </c>
      <c r="K50" s="12" t="s">
        <v>380</v>
      </c>
      <c r="L50" s="12" t="s">
        <v>29</v>
      </c>
      <c r="M50" s="12" t="s">
        <v>349</v>
      </c>
      <c r="N50" s="12" t="s">
        <v>30</v>
      </c>
      <c r="O50" s="12" t="s">
        <v>6</v>
      </c>
      <c r="P50" s="12" t="s">
        <v>1</v>
      </c>
      <c r="Q50" s="12">
        <v>10</v>
      </c>
      <c r="R50" s="12" t="s">
        <v>381</v>
      </c>
      <c r="S50" s="12" t="s">
        <v>1</v>
      </c>
      <c r="T50" s="12" t="s">
        <v>1</v>
      </c>
      <c r="U50" s="12" t="s">
        <v>1</v>
      </c>
      <c r="V50" s="12" t="s">
        <v>8</v>
      </c>
      <c r="W50" s="12" t="s">
        <v>9</v>
      </c>
      <c r="X50" s="12" t="s">
        <v>10</v>
      </c>
      <c r="Y50" s="12" t="s">
        <v>1</v>
      </c>
      <c r="Z50" s="12" t="s">
        <v>11</v>
      </c>
      <c r="AA50" s="12" t="s">
        <v>1</v>
      </c>
      <c r="AB50" s="12" t="s">
        <v>1</v>
      </c>
      <c r="AC50" s="12" t="s">
        <v>1</v>
      </c>
      <c r="AD50" s="12" t="s">
        <v>1</v>
      </c>
      <c r="AE50" s="12" t="s">
        <v>1</v>
      </c>
      <c r="AF50" s="12" t="s">
        <v>1</v>
      </c>
      <c r="AG50" s="12" t="s">
        <v>1</v>
      </c>
      <c r="AH50" s="12" t="s">
        <v>12</v>
      </c>
      <c r="AI50" s="12" t="s">
        <v>37</v>
      </c>
      <c r="AJ50" s="12" t="s">
        <v>14</v>
      </c>
      <c r="AK50" s="12">
        <v>2667851</v>
      </c>
      <c r="AL50" s="12">
        <v>29214798</v>
      </c>
      <c r="AM50" s="12" t="s">
        <v>379</v>
      </c>
      <c r="AN50" s="12" t="s">
        <v>15</v>
      </c>
      <c r="AO50" s="12" t="s">
        <v>13</v>
      </c>
      <c r="AP50" s="12" t="s">
        <v>16</v>
      </c>
      <c r="AQ50" s="12" t="s">
        <v>37</v>
      </c>
      <c r="AR50" s="12" t="s">
        <v>17</v>
      </c>
      <c r="AS50" s="12" t="s">
        <v>10</v>
      </c>
      <c r="AT50" s="12" t="s">
        <v>31</v>
      </c>
      <c r="AU50" s="12" t="s">
        <v>19</v>
      </c>
      <c r="AV50" s="12" t="s">
        <v>349</v>
      </c>
      <c r="AW50" s="12" t="s">
        <v>382</v>
      </c>
      <c r="AX50" s="12">
        <v>202605</v>
      </c>
      <c r="AY50" s="12">
        <v>25</v>
      </c>
      <c r="AZ50" s="12" t="s">
        <v>349</v>
      </c>
      <c r="BA50" s="12" t="s">
        <v>383</v>
      </c>
      <c r="BB50" s="12" t="s">
        <v>384</v>
      </c>
      <c r="BC50" s="12" t="s">
        <v>385</v>
      </c>
      <c r="BD50" s="12" t="s">
        <v>22</v>
      </c>
      <c r="BE50" s="12">
        <v>3744</v>
      </c>
      <c r="BF50" s="12" t="s">
        <v>23</v>
      </c>
      <c r="BG50" s="12" t="s">
        <v>22</v>
      </c>
      <c r="BH50" s="12" t="s">
        <v>337</v>
      </c>
      <c r="BI50" s="12">
        <v>17184</v>
      </c>
      <c r="BJ50" s="12"/>
      <c r="BK50" s="14" t="str">
        <f>VLOOKUP(Hoja1!$B50,Tabla2[[#All],[ID_TRANSACCION]],1,FALSE)</f>
        <v>BO_FS_202605252667851_29214798</v>
      </c>
    </row>
    <row r="51" spans="1:63" x14ac:dyDescent="0.25">
      <c r="A51" s="20" t="s">
        <v>224</v>
      </c>
      <c r="B51" s="16" t="s">
        <v>386</v>
      </c>
      <c r="C51" s="16">
        <v>29208906</v>
      </c>
      <c r="D51" s="16" t="s">
        <v>1</v>
      </c>
      <c r="E51" s="16" t="s">
        <v>349</v>
      </c>
      <c r="F51" s="16" t="s">
        <v>1</v>
      </c>
      <c r="G51" s="16" t="s">
        <v>1</v>
      </c>
      <c r="H51" s="16" t="s">
        <v>387</v>
      </c>
      <c r="I51" s="16">
        <v>2667010</v>
      </c>
      <c r="J51" s="16" t="s">
        <v>1</v>
      </c>
      <c r="K51" s="16" t="s">
        <v>388</v>
      </c>
      <c r="L51" s="16" t="s">
        <v>29</v>
      </c>
      <c r="M51" s="16" t="s">
        <v>224</v>
      </c>
      <c r="N51" s="16" t="s">
        <v>30</v>
      </c>
      <c r="O51" s="16" t="s">
        <v>6</v>
      </c>
      <c r="P51" s="16" t="s">
        <v>1</v>
      </c>
      <c r="Q51" s="16">
        <v>7</v>
      </c>
      <c r="R51" s="16" t="s">
        <v>389</v>
      </c>
      <c r="S51" s="16" t="s">
        <v>1</v>
      </c>
      <c r="T51" s="16" t="s">
        <v>1</v>
      </c>
      <c r="U51" s="16" t="s">
        <v>1</v>
      </c>
      <c r="V51" s="16" t="s">
        <v>8</v>
      </c>
      <c r="W51" s="16" t="s">
        <v>280</v>
      </c>
      <c r="X51" s="16" t="s">
        <v>10</v>
      </c>
      <c r="Y51" s="16" t="s">
        <v>1</v>
      </c>
      <c r="Z51" s="16" t="s">
        <v>208</v>
      </c>
      <c r="AA51" s="16" t="s">
        <v>1</v>
      </c>
      <c r="AB51" s="16" t="s">
        <v>1</v>
      </c>
      <c r="AC51" s="16" t="s">
        <v>1</v>
      </c>
      <c r="AD51" s="16" t="s">
        <v>1</v>
      </c>
      <c r="AE51" s="16" t="s">
        <v>1</v>
      </c>
      <c r="AF51" s="16" t="s">
        <v>1</v>
      </c>
      <c r="AG51" s="16" t="s">
        <v>1</v>
      </c>
      <c r="AH51" s="16" t="s">
        <v>12</v>
      </c>
      <c r="AI51" s="16" t="s">
        <v>37</v>
      </c>
      <c r="AJ51" s="16" t="s">
        <v>14</v>
      </c>
      <c r="AK51" s="16">
        <v>2667010</v>
      </c>
      <c r="AL51" s="16">
        <v>29208906</v>
      </c>
      <c r="AM51" s="16" t="s">
        <v>387</v>
      </c>
      <c r="AN51" s="16" t="s">
        <v>15</v>
      </c>
      <c r="AO51" s="16" t="s">
        <v>13</v>
      </c>
      <c r="AP51" s="16" t="s">
        <v>16</v>
      </c>
      <c r="AQ51" s="16" t="s">
        <v>37</v>
      </c>
      <c r="AR51" s="16" t="s">
        <v>17</v>
      </c>
      <c r="AS51" s="16" t="s">
        <v>10</v>
      </c>
      <c r="AT51" s="16" t="s">
        <v>31</v>
      </c>
      <c r="AU51" s="16" t="s">
        <v>19</v>
      </c>
      <c r="AV51" s="16" t="s">
        <v>235</v>
      </c>
      <c r="AW51" s="16" t="s">
        <v>390</v>
      </c>
      <c r="AX51" s="16">
        <v>202605</v>
      </c>
      <c r="AY51" s="16">
        <v>23</v>
      </c>
      <c r="AZ51" s="16" t="s">
        <v>224</v>
      </c>
      <c r="BA51" s="16" t="s">
        <v>391</v>
      </c>
      <c r="BB51" s="16" t="s">
        <v>392</v>
      </c>
      <c r="BC51" s="16" t="s">
        <v>393</v>
      </c>
      <c r="BD51" s="16" t="s">
        <v>22</v>
      </c>
      <c r="BE51" s="16">
        <v>3744</v>
      </c>
      <c r="BF51" s="16" t="s">
        <v>23</v>
      </c>
      <c r="BG51" s="16" t="s">
        <v>22</v>
      </c>
      <c r="BH51" s="16" t="s">
        <v>337</v>
      </c>
      <c r="BI51" s="16">
        <v>17210</v>
      </c>
      <c r="BJ51" s="16"/>
      <c r="BK51" s="18" t="str">
        <f>VLOOKUP(Hoja1!$B51,Tabla2[[#All],[ID_TRANSACCION]],1,FALSE)</f>
        <v>BO_FS_202605232667010_29208906</v>
      </c>
    </row>
    <row r="52" spans="1:63" hidden="1" x14ac:dyDescent="0.25">
      <c r="A52" s="11" t="s">
        <v>32</v>
      </c>
      <c r="B52" s="12" t="s">
        <v>394</v>
      </c>
      <c r="C52" s="12">
        <v>29220488</v>
      </c>
      <c r="D52" s="12" t="s">
        <v>1</v>
      </c>
      <c r="E52" s="12" t="s">
        <v>26</v>
      </c>
      <c r="F52" s="12" t="s">
        <v>1</v>
      </c>
      <c r="G52" s="12" t="s">
        <v>1</v>
      </c>
      <c r="H52" s="12" t="s">
        <v>395</v>
      </c>
      <c r="I52" s="12">
        <v>2668680</v>
      </c>
      <c r="J52" s="12" t="s">
        <v>1</v>
      </c>
      <c r="K52" s="12" t="s">
        <v>396</v>
      </c>
      <c r="L52" s="12" t="s">
        <v>29</v>
      </c>
      <c r="M52" s="12" t="s">
        <v>32</v>
      </c>
      <c r="N52" s="12" t="s">
        <v>30</v>
      </c>
      <c r="O52" s="12" t="s">
        <v>6</v>
      </c>
      <c r="P52" s="12" t="s">
        <v>1</v>
      </c>
      <c r="Q52" s="12">
        <v>10</v>
      </c>
      <c r="R52" s="12" t="s">
        <v>1</v>
      </c>
      <c r="S52" s="12" t="s">
        <v>1</v>
      </c>
      <c r="T52" s="12" t="s">
        <v>1</v>
      </c>
      <c r="U52" s="12" t="s">
        <v>1</v>
      </c>
      <c r="V52" s="12" t="s">
        <v>8</v>
      </c>
      <c r="W52" s="12" t="s">
        <v>9</v>
      </c>
      <c r="X52" s="12" t="s">
        <v>10</v>
      </c>
      <c r="Y52" s="12" t="s">
        <v>1</v>
      </c>
      <c r="Z52" s="12" t="s">
        <v>11</v>
      </c>
      <c r="AA52" s="12" t="s">
        <v>1</v>
      </c>
      <c r="AB52" s="12" t="s">
        <v>1</v>
      </c>
      <c r="AC52" s="12" t="s">
        <v>1</v>
      </c>
      <c r="AD52" s="12" t="s">
        <v>1</v>
      </c>
      <c r="AE52" s="12" t="s">
        <v>1</v>
      </c>
      <c r="AF52" s="12" t="s">
        <v>1</v>
      </c>
      <c r="AG52" s="12" t="s">
        <v>1</v>
      </c>
      <c r="AH52" s="12" t="s">
        <v>12</v>
      </c>
      <c r="AI52" s="12" t="s">
        <v>37</v>
      </c>
      <c r="AJ52" s="12" t="s">
        <v>14</v>
      </c>
      <c r="AK52" s="12">
        <v>2668680</v>
      </c>
      <c r="AL52" s="12">
        <v>29220488</v>
      </c>
      <c r="AM52" s="12" t="s">
        <v>395</v>
      </c>
      <c r="AN52" s="12" t="s">
        <v>15</v>
      </c>
      <c r="AO52" s="12" t="s">
        <v>13</v>
      </c>
      <c r="AP52" s="12" t="s">
        <v>16</v>
      </c>
      <c r="AQ52" s="12" t="s">
        <v>37</v>
      </c>
      <c r="AR52" s="12" t="s">
        <v>17</v>
      </c>
      <c r="AS52" s="12" t="s">
        <v>10</v>
      </c>
      <c r="AT52" s="12" t="s">
        <v>31</v>
      </c>
      <c r="AU52" s="12" t="s">
        <v>19</v>
      </c>
      <c r="AV52" s="12" t="s">
        <v>338</v>
      </c>
      <c r="AW52" s="12" t="s">
        <v>397</v>
      </c>
      <c r="AX52" s="12">
        <v>202605</v>
      </c>
      <c r="AY52" s="12">
        <v>27</v>
      </c>
      <c r="AZ52" s="12" t="s">
        <v>32</v>
      </c>
      <c r="BA52" s="12" t="s">
        <v>398</v>
      </c>
      <c r="BB52" s="12" t="s">
        <v>399</v>
      </c>
      <c r="BC52" s="12" t="s">
        <v>400</v>
      </c>
      <c r="BD52" s="12" t="s">
        <v>22</v>
      </c>
      <c r="BE52" s="12">
        <v>3744</v>
      </c>
      <c r="BF52" s="12" t="s">
        <v>23</v>
      </c>
      <c r="BG52" s="12" t="s">
        <v>22</v>
      </c>
      <c r="BH52" s="13">
        <v>46028.668425925927</v>
      </c>
      <c r="BI52" s="12">
        <v>18607</v>
      </c>
      <c r="BJ52" s="12"/>
      <c r="BK52" s="14" t="str">
        <f>VLOOKUP(Hoja1!$B52,Tabla2[[#All],[ID_TRANSACCION]],1,FALSE)</f>
        <v>BO_FS_202605272668680_29220488</v>
      </c>
    </row>
    <row r="53" spans="1:63" hidden="1" x14ac:dyDescent="0.25">
      <c r="A53" s="20" t="s">
        <v>401</v>
      </c>
      <c r="B53" s="16" t="s">
        <v>402</v>
      </c>
      <c r="C53" s="16">
        <v>29242377</v>
      </c>
      <c r="D53" s="16" t="s">
        <v>1</v>
      </c>
      <c r="E53" s="16" t="s">
        <v>401</v>
      </c>
      <c r="F53" s="16" t="s">
        <v>1</v>
      </c>
      <c r="G53" s="16" t="s">
        <v>1</v>
      </c>
      <c r="H53" s="16" t="s">
        <v>403</v>
      </c>
      <c r="I53" s="16">
        <v>2670957</v>
      </c>
      <c r="J53" s="16" t="s">
        <v>1</v>
      </c>
      <c r="K53" s="16" t="s">
        <v>404</v>
      </c>
      <c r="L53" s="16" t="s">
        <v>29</v>
      </c>
      <c r="M53" s="16" t="s">
        <v>401</v>
      </c>
      <c r="N53" s="16" t="s">
        <v>30</v>
      </c>
      <c r="O53" s="16" t="s">
        <v>6</v>
      </c>
      <c r="P53" s="16" t="s">
        <v>1</v>
      </c>
      <c r="Q53" s="16">
        <v>10</v>
      </c>
      <c r="R53" s="16" t="s">
        <v>357</v>
      </c>
      <c r="S53" s="16" t="s">
        <v>1</v>
      </c>
      <c r="T53" s="16" t="s">
        <v>1</v>
      </c>
      <c r="U53" s="16" t="s">
        <v>1</v>
      </c>
      <c r="V53" s="16" t="s">
        <v>8</v>
      </c>
      <c r="W53" s="16" t="s">
        <v>9</v>
      </c>
      <c r="X53" s="16" t="s">
        <v>10</v>
      </c>
      <c r="Y53" s="16" t="s">
        <v>1</v>
      </c>
      <c r="Z53" s="16" t="s">
        <v>11</v>
      </c>
      <c r="AA53" s="16" t="s">
        <v>1</v>
      </c>
      <c r="AB53" s="16" t="s">
        <v>1</v>
      </c>
      <c r="AC53" s="16" t="s">
        <v>1</v>
      </c>
      <c r="AD53" s="16" t="s">
        <v>1</v>
      </c>
      <c r="AE53" s="16" t="s">
        <v>1</v>
      </c>
      <c r="AF53" s="16" t="s">
        <v>1</v>
      </c>
      <c r="AG53" s="16" t="s">
        <v>1</v>
      </c>
      <c r="AH53" s="16" t="s">
        <v>12</v>
      </c>
      <c r="AI53" s="16" t="s">
        <v>37</v>
      </c>
      <c r="AJ53" s="16" t="s">
        <v>14</v>
      </c>
      <c r="AK53" s="16">
        <v>2670957</v>
      </c>
      <c r="AL53" s="16">
        <v>29242377</v>
      </c>
      <c r="AM53" s="16" t="s">
        <v>403</v>
      </c>
      <c r="AN53" s="16" t="s">
        <v>15</v>
      </c>
      <c r="AO53" s="16" t="s">
        <v>13</v>
      </c>
      <c r="AP53" s="16" t="s">
        <v>16</v>
      </c>
      <c r="AQ53" s="16" t="s">
        <v>37</v>
      </c>
      <c r="AR53" s="16" t="s">
        <v>17</v>
      </c>
      <c r="AS53" s="16" t="s">
        <v>10</v>
      </c>
      <c r="AT53" s="16" t="s">
        <v>31</v>
      </c>
      <c r="AU53" s="16" t="s">
        <v>19</v>
      </c>
      <c r="AV53" s="16" t="s">
        <v>405</v>
      </c>
      <c r="AW53" s="16" t="s">
        <v>406</v>
      </c>
      <c r="AX53" s="16">
        <v>202605</v>
      </c>
      <c r="AY53" s="16">
        <v>31</v>
      </c>
      <c r="AZ53" s="16" t="s">
        <v>401</v>
      </c>
      <c r="BA53" s="16" t="s">
        <v>407</v>
      </c>
      <c r="BB53" s="16" t="s">
        <v>238</v>
      </c>
      <c r="BC53" s="16" t="s">
        <v>408</v>
      </c>
      <c r="BD53" s="16" t="s">
        <v>22</v>
      </c>
      <c r="BE53" s="16">
        <v>3744</v>
      </c>
      <c r="BF53" s="16" t="s">
        <v>23</v>
      </c>
      <c r="BG53" s="16" t="s">
        <v>22</v>
      </c>
      <c r="BH53" s="17">
        <v>46028.668425925927</v>
      </c>
      <c r="BI53" s="16">
        <v>18816</v>
      </c>
      <c r="BJ53" s="16"/>
      <c r="BK53" s="18" t="str">
        <f>VLOOKUP(Hoja1!$B53,Tabla2[[#All],[ID_TRANSACCION]],1,FALSE)</f>
        <v>BO_FS_202605312670957_29242377</v>
      </c>
    </row>
    <row r="54" spans="1:63" hidden="1" x14ac:dyDescent="0.25">
      <c r="A54" s="11" t="s">
        <v>26</v>
      </c>
      <c r="B54" s="12" t="s">
        <v>409</v>
      </c>
      <c r="C54" s="12">
        <v>29229465</v>
      </c>
      <c r="D54" s="12" t="s">
        <v>1</v>
      </c>
      <c r="E54" s="12" t="s">
        <v>401</v>
      </c>
      <c r="F54" s="12" t="s">
        <v>1</v>
      </c>
      <c r="G54" s="12" t="s">
        <v>1</v>
      </c>
      <c r="H54" s="12" t="s">
        <v>410</v>
      </c>
      <c r="I54" s="12">
        <v>2669771</v>
      </c>
      <c r="J54" s="12" t="s">
        <v>1</v>
      </c>
      <c r="K54" s="12" t="s">
        <v>411</v>
      </c>
      <c r="L54" s="12" t="s">
        <v>29</v>
      </c>
      <c r="M54" s="12" t="s">
        <v>26</v>
      </c>
      <c r="N54" s="12" t="s">
        <v>30</v>
      </c>
      <c r="O54" s="12" t="s">
        <v>6</v>
      </c>
      <c r="P54" s="12" t="s">
        <v>1</v>
      </c>
      <c r="Q54" s="12">
        <v>10</v>
      </c>
      <c r="R54" s="12" t="s">
        <v>1</v>
      </c>
      <c r="S54" s="12" t="s">
        <v>1</v>
      </c>
      <c r="T54" s="12" t="s">
        <v>1</v>
      </c>
      <c r="U54" s="12" t="s">
        <v>1</v>
      </c>
      <c r="V54" s="12" t="s">
        <v>8</v>
      </c>
      <c r="W54" s="12" t="s">
        <v>9</v>
      </c>
      <c r="X54" s="12" t="s">
        <v>10</v>
      </c>
      <c r="Y54" s="12" t="s">
        <v>1</v>
      </c>
      <c r="Z54" s="12" t="s">
        <v>11</v>
      </c>
      <c r="AA54" s="12" t="s">
        <v>1</v>
      </c>
      <c r="AB54" s="12" t="s">
        <v>1</v>
      </c>
      <c r="AC54" s="12" t="s">
        <v>1</v>
      </c>
      <c r="AD54" s="12" t="s">
        <v>1</v>
      </c>
      <c r="AE54" s="12" t="s">
        <v>1</v>
      </c>
      <c r="AF54" s="12" t="s">
        <v>1</v>
      </c>
      <c r="AG54" s="12" t="s">
        <v>1</v>
      </c>
      <c r="AH54" s="12" t="s">
        <v>12</v>
      </c>
      <c r="AI54" s="12" t="s">
        <v>37</v>
      </c>
      <c r="AJ54" s="12" t="s">
        <v>14</v>
      </c>
      <c r="AK54" s="12">
        <v>2669771</v>
      </c>
      <c r="AL54" s="12">
        <v>29229465</v>
      </c>
      <c r="AM54" s="12" t="s">
        <v>410</v>
      </c>
      <c r="AN54" s="12" t="s">
        <v>15</v>
      </c>
      <c r="AO54" s="12" t="s">
        <v>13</v>
      </c>
      <c r="AP54" s="12" t="s">
        <v>16</v>
      </c>
      <c r="AQ54" s="12" t="s">
        <v>37</v>
      </c>
      <c r="AR54" s="12" t="s">
        <v>17</v>
      </c>
      <c r="AS54" s="12" t="s">
        <v>10</v>
      </c>
      <c r="AT54" s="12" t="s">
        <v>31</v>
      </c>
      <c r="AU54" s="12" t="s">
        <v>19</v>
      </c>
      <c r="AV54" s="12" t="s">
        <v>24</v>
      </c>
      <c r="AW54" s="12" t="s">
        <v>412</v>
      </c>
      <c r="AX54" s="12">
        <v>202605</v>
      </c>
      <c r="AY54" s="12">
        <v>29</v>
      </c>
      <c r="AZ54" s="12" t="s">
        <v>26</v>
      </c>
      <c r="BA54" s="12" t="s">
        <v>413</v>
      </c>
      <c r="BB54" s="12" t="s">
        <v>369</v>
      </c>
      <c r="BC54" s="12" t="s">
        <v>414</v>
      </c>
      <c r="BD54" s="12" t="s">
        <v>22</v>
      </c>
      <c r="BE54" s="12">
        <v>3744</v>
      </c>
      <c r="BF54" s="12" t="s">
        <v>23</v>
      </c>
      <c r="BG54" s="12" t="s">
        <v>22</v>
      </c>
      <c r="BH54" s="13">
        <v>46028.668425925927</v>
      </c>
      <c r="BI54" s="12">
        <v>18817</v>
      </c>
      <c r="BJ54" s="12"/>
      <c r="BK54" s="14" t="str">
        <f>VLOOKUP(Hoja1!$B54,Tabla2[[#All],[ID_TRANSACCION]],1,FALSE)</f>
        <v>BO_FS_202605292669771_29229465</v>
      </c>
    </row>
    <row r="55" spans="1:63" hidden="1" x14ac:dyDescent="0.25">
      <c r="A55" s="4" t="s">
        <v>26</v>
      </c>
      <c r="B55" s="2" t="s">
        <v>415</v>
      </c>
      <c r="C55" s="2">
        <v>29227369</v>
      </c>
      <c r="D55" s="2" t="s">
        <v>1</v>
      </c>
      <c r="E55" s="2" t="s">
        <v>401</v>
      </c>
      <c r="F55" s="2" t="s">
        <v>1</v>
      </c>
      <c r="G55" s="2" t="s">
        <v>1</v>
      </c>
      <c r="H55" s="2" t="s">
        <v>416</v>
      </c>
      <c r="I55" s="2">
        <v>2669519</v>
      </c>
      <c r="J55" s="2" t="s">
        <v>1</v>
      </c>
      <c r="K55" s="2" t="s">
        <v>417</v>
      </c>
      <c r="L55" s="2" t="s">
        <v>29</v>
      </c>
      <c r="M55" s="2" t="s">
        <v>26</v>
      </c>
      <c r="N55" s="2" t="s">
        <v>30</v>
      </c>
      <c r="O55" s="2" t="s">
        <v>6</v>
      </c>
      <c r="P55" s="2" t="s">
        <v>1</v>
      </c>
      <c r="Q55" s="2">
        <v>10</v>
      </c>
      <c r="R55" s="2" t="s">
        <v>1</v>
      </c>
      <c r="S55" s="2" t="s">
        <v>1</v>
      </c>
      <c r="T55" s="2" t="s">
        <v>1</v>
      </c>
      <c r="U55" s="2" t="s">
        <v>1</v>
      </c>
      <c r="V55" s="2" t="s">
        <v>8</v>
      </c>
      <c r="W55" s="2" t="s">
        <v>9</v>
      </c>
      <c r="X55" s="2" t="s">
        <v>10</v>
      </c>
      <c r="Y55" s="2" t="s">
        <v>1</v>
      </c>
      <c r="Z55" s="2" t="s">
        <v>11</v>
      </c>
      <c r="AA55" s="2" t="s">
        <v>1</v>
      </c>
      <c r="AB55" s="2" t="s">
        <v>1</v>
      </c>
      <c r="AC55" s="2" t="s">
        <v>1</v>
      </c>
      <c r="AD55" s="2" t="s">
        <v>1</v>
      </c>
      <c r="AE55" s="2" t="s">
        <v>1</v>
      </c>
      <c r="AF55" s="2" t="s">
        <v>1</v>
      </c>
      <c r="AG55" s="2" t="s">
        <v>1</v>
      </c>
      <c r="AH55" s="2" t="s">
        <v>12</v>
      </c>
      <c r="AI55" s="2" t="s">
        <v>37</v>
      </c>
      <c r="AJ55" s="2" t="s">
        <v>14</v>
      </c>
      <c r="AK55" s="2">
        <v>2669519</v>
      </c>
      <c r="AL55" s="2">
        <v>29227369</v>
      </c>
      <c r="AM55" s="2" t="s">
        <v>416</v>
      </c>
      <c r="AN55" s="2" t="s">
        <v>15</v>
      </c>
      <c r="AO55" s="2" t="s">
        <v>13</v>
      </c>
      <c r="AP55" s="2" t="s">
        <v>16</v>
      </c>
      <c r="AQ55" s="2" t="s">
        <v>37</v>
      </c>
      <c r="AR55" s="2" t="s">
        <v>17</v>
      </c>
      <c r="AS55" s="2" t="s">
        <v>10</v>
      </c>
      <c r="AT55" s="2" t="s">
        <v>31</v>
      </c>
      <c r="AU55" s="2" t="s">
        <v>19</v>
      </c>
      <c r="AV55" s="2" t="s">
        <v>24</v>
      </c>
      <c r="AW55" s="2" t="s">
        <v>418</v>
      </c>
      <c r="AX55" s="2">
        <v>202605</v>
      </c>
      <c r="AY55" s="2">
        <v>29</v>
      </c>
      <c r="AZ55" s="2" t="s">
        <v>26</v>
      </c>
      <c r="BA55" s="2" t="s">
        <v>419</v>
      </c>
      <c r="BB55" s="2" t="s">
        <v>90</v>
      </c>
      <c r="BC55" s="2" t="s">
        <v>420</v>
      </c>
      <c r="BD55" s="2" t="s">
        <v>22</v>
      </c>
      <c r="BE55" s="2">
        <v>3744</v>
      </c>
      <c r="BF55" s="2" t="s">
        <v>23</v>
      </c>
      <c r="BG55" s="2" t="s">
        <v>22</v>
      </c>
      <c r="BH55" s="3">
        <v>46028.668425925927</v>
      </c>
      <c r="BI55" s="2">
        <v>18818</v>
      </c>
      <c r="BJ55" s="2"/>
      <c r="BK55" s="5" t="str">
        <f>VLOOKUP(Hoja1!$B55,Tabla2[[#All],[ID_TRANSACCION]],1,FALSE)</f>
        <v>BO_FS_202605292669519_29227369</v>
      </c>
    </row>
  </sheetData>
  <autoFilter ref="A4:BK55">
    <filterColumn colId="59">
      <filters>
        <filter val="25/05/2026 16:02:39"/>
        <filter val="27/05/2026 16:03:01"/>
      </filters>
    </filterColumn>
  </autoFilter>
  <conditionalFormatting sqref="B164:B1048576 B1:B5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9"/>
  <sheetViews>
    <sheetView topLeftCell="AY1" workbookViewId="0">
      <selection activeCell="BF23" sqref="BF23"/>
    </sheetView>
  </sheetViews>
  <sheetFormatPr baseColWidth="10" defaultRowHeight="15" x14ac:dyDescent="0.25"/>
  <cols>
    <col min="1" max="1" width="19" customWidth="1"/>
    <col min="2" max="2" width="18.85546875" customWidth="1"/>
    <col min="3" max="3" width="14.42578125" customWidth="1"/>
    <col min="4" max="4" width="30.7109375" customWidth="1"/>
    <col min="5" max="5" width="23.140625" customWidth="1"/>
    <col min="6" max="6" width="18.140625" customWidth="1"/>
    <col min="7" max="7" width="20.85546875" customWidth="1"/>
    <col min="8" max="8" width="19.140625" customWidth="1"/>
    <col min="9" max="9" width="13" customWidth="1"/>
    <col min="12" max="12" width="24.42578125" customWidth="1"/>
    <col min="13" max="13" width="27" customWidth="1"/>
    <col min="15" max="15" width="12" customWidth="1"/>
    <col min="16" max="16" width="35.85546875" customWidth="1"/>
    <col min="18" max="18" width="36.5703125" customWidth="1"/>
    <col min="21" max="21" width="25" customWidth="1"/>
    <col min="23" max="23" width="29.42578125" customWidth="1"/>
    <col min="24" max="24" width="12.7109375" customWidth="1"/>
    <col min="25" max="25" width="18.140625" customWidth="1"/>
    <col min="26" max="26" width="11.85546875" customWidth="1"/>
    <col min="27" max="27" width="33.28515625" customWidth="1"/>
    <col min="28" max="28" width="21" customWidth="1"/>
    <col min="29" max="29" width="23.28515625" customWidth="1"/>
    <col min="30" max="30" width="26.28515625" customWidth="1"/>
    <col min="31" max="31" width="23" customWidth="1"/>
    <col min="32" max="32" width="25.28515625" customWidth="1"/>
    <col min="33" max="33" width="28.28515625" customWidth="1"/>
    <col min="34" max="34" width="18" customWidth="1"/>
    <col min="36" max="36" width="16.28515625" customWidth="1"/>
    <col min="37" max="37" width="14.140625" customWidth="1"/>
    <col min="38" max="38" width="13.42578125" customWidth="1"/>
    <col min="39" max="39" width="30" customWidth="1"/>
    <col min="40" max="40" width="18.140625" customWidth="1"/>
    <col min="41" max="41" width="23.28515625" customWidth="1"/>
    <col min="42" max="42" width="12.7109375" customWidth="1"/>
    <col min="43" max="43" width="15.42578125" customWidth="1"/>
    <col min="44" max="44" width="21.5703125" customWidth="1"/>
    <col min="45" max="45" width="20" customWidth="1"/>
    <col min="46" max="46" width="19.42578125" customWidth="1"/>
    <col min="47" max="47" width="17.42578125" customWidth="1"/>
    <col min="48" max="48" width="25.85546875" customWidth="1"/>
    <col min="49" max="49" width="25.28515625" customWidth="1"/>
    <col min="50" max="50" width="27.85546875" customWidth="1"/>
    <col min="52" max="52" width="29.7109375" customWidth="1"/>
    <col min="53" max="53" width="29.140625" customWidth="1"/>
    <col min="54" max="54" width="15.85546875" customWidth="1"/>
    <col min="55" max="55" width="12.7109375" customWidth="1"/>
    <col min="56" max="56" width="27.42578125" customWidth="1"/>
    <col min="57" max="57" width="12.7109375" customWidth="1"/>
    <col min="58" max="58" width="19.85546875" customWidth="1"/>
    <col min="59" max="59" width="12.42578125" customWidth="1"/>
  </cols>
  <sheetData>
    <row r="1" spans="1:60" x14ac:dyDescent="0.25">
      <c r="A1" t="s">
        <v>458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469</v>
      </c>
      <c r="M1" t="s">
        <v>470</v>
      </c>
      <c r="N1" t="s">
        <v>471</v>
      </c>
      <c r="O1" t="s">
        <v>472</v>
      </c>
      <c r="P1" t="s">
        <v>473</v>
      </c>
      <c r="Q1" t="s">
        <v>474</v>
      </c>
      <c r="R1" t="s">
        <v>475</v>
      </c>
      <c r="S1" t="s">
        <v>476</v>
      </c>
      <c r="T1" t="s">
        <v>477</v>
      </c>
      <c r="U1" t="s">
        <v>478</v>
      </c>
      <c r="V1" t="s">
        <v>479</v>
      </c>
      <c r="W1" t="s">
        <v>480</v>
      </c>
      <c r="X1" t="s">
        <v>481</v>
      </c>
      <c r="Y1" t="s">
        <v>482</v>
      </c>
      <c r="Z1" t="s">
        <v>483</v>
      </c>
      <c r="AA1" t="s">
        <v>484</v>
      </c>
      <c r="AB1" t="s">
        <v>485</v>
      </c>
      <c r="AC1" t="s">
        <v>486</v>
      </c>
      <c r="AD1" t="s">
        <v>487</v>
      </c>
      <c r="AE1" t="s">
        <v>488</v>
      </c>
      <c r="AF1" t="s">
        <v>489</v>
      </c>
      <c r="AG1" t="s">
        <v>490</v>
      </c>
      <c r="AH1" t="s">
        <v>491</v>
      </c>
      <c r="AI1" t="s">
        <v>492</v>
      </c>
      <c r="AJ1" t="s">
        <v>493</v>
      </c>
      <c r="AK1" t="s">
        <v>494</v>
      </c>
      <c r="AL1" t="s">
        <v>495</v>
      </c>
      <c r="AM1" t="s">
        <v>496</v>
      </c>
      <c r="AN1" t="s">
        <v>497</v>
      </c>
      <c r="AO1" t="s">
        <v>498</v>
      </c>
      <c r="AP1" t="s">
        <v>499</v>
      </c>
      <c r="AQ1" t="s">
        <v>500</v>
      </c>
      <c r="AR1" t="s">
        <v>501</v>
      </c>
      <c r="AS1" t="s">
        <v>502</v>
      </c>
      <c r="AT1" t="s">
        <v>503</v>
      </c>
      <c r="AU1" t="s">
        <v>504</v>
      </c>
      <c r="AV1" t="s">
        <v>505</v>
      </c>
      <c r="AW1" t="s">
        <v>506</v>
      </c>
      <c r="AX1" t="s">
        <v>507</v>
      </c>
      <c r="AY1" t="s">
        <v>508</v>
      </c>
      <c r="AZ1" t="s">
        <v>509</v>
      </c>
      <c r="BA1" t="s">
        <v>510</v>
      </c>
      <c r="BB1" t="s">
        <v>511</v>
      </c>
      <c r="BC1" t="s">
        <v>512</v>
      </c>
      <c r="BD1" t="s">
        <v>513</v>
      </c>
      <c r="BE1" t="s">
        <v>514</v>
      </c>
      <c r="BF1" t="s">
        <v>515</v>
      </c>
      <c r="BG1" t="s">
        <v>516</v>
      </c>
      <c r="BH1" t="s">
        <v>566</v>
      </c>
    </row>
    <row r="2" spans="1:60" x14ac:dyDescent="0.25">
      <c r="A2" s="6">
        <v>46146</v>
      </c>
      <c r="B2" t="s">
        <v>248</v>
      </c>
      <c r="C2">
        <v>29119172</v>
      </c>
      <c r="E2" s="6">
        <v>46149</v>
      </c>
      <c r="H2" t="s">
        <v>249</v>
      </c>
      <c r="I2">
        <v>2656640</v>
      </c>
      <c r="K2" t="s">
        <v>250</v>
      </c>
      <c r="L2" t="s">
        <v>29</v>
      </c>
      <c r="M2" s="6">
        <v>46146</v>
      </c>
      <c r="N2" t="s">
        <v>30</v>
      </c>
      <c r="O2" t="s">
        <v>6</v>
      </c>
      <c r="Q2">
        <v>10</v>
      </c>
      <c r="R2" t="s">
        <v>517</v>
      </c>
      <c r="V2" t="s">
        <v>8</v>
      </c>
      <c r="W2" t="s">
        <v>9</v>
      </c>
      <c r="X2" t="s">
        <v>10</v>
      </c>
      <c r="Z2" t="s">
        <v>11</v>
      </c>
      <c r="AH2" t="s">
        <v>12</v>
      </c>
      <c r="AI2" t="s">
        <v>518</v>
      </c>
      <c r="AJ2" t="s">
        <v>519</v>
      </c>
      <c r="AK2" s="7">
        <v>2656640</v>
      </c>
      <c r="AL2" s="7">
        <v>29119172</v>
      </c>
      <c r="AM2" t="s">
        <v>249</v>
      </c>
      <c r="AN2" t="s">
        <v>15</v>
      </c>
      <c r="AO2" t="s">
        <v>12</v>
      </c>
      <c r="AP2" t="s">
        <v>16</v>
      </c>
      <c r="AQ2" t="s">
        <v>518</v>
      </c>
      <c r="AR2" t="s">
        <v>17</v>
      </c>
      <c r="AS2" t="s">
        <v>10</v>
      </c>
      <c r="AT2" t="s">
        <v>31</v>
      </c>
      <c r="AU2" t="s">
        <v>19</v>
      </c>
      <c r="AV2" s="1">
        <v>46146</v>
      </c>
      <c r="AW2" s="1">
        <v>46146.481249999997</v>
      </c>
      <c r="AX2">
        <v>202605</v>
      </c>
      <c r="AY2">
        <v>4</v>
      </c>
      <c r="AZ2" s="1">
        <v>46146</v>
      </c>
      <c r="BA2" s="1">
        <v>46146.537800925929</v>
      </c>
      <c r="BB2" t="s">
        <v>520</v>
      </c>
      <c r="BC2" t="s">
        <v>252</v>
      </c>
      <c r="BD2" t="s">
        <v>22</v>
      </c>
      <c r="BE2" s="7">
        <v>3744</v>
      </c>
      <c r="BF2" t="s">
        <v>521</v>
      </c>
      <c r="BH2" t="str">
        <f>VLOOKUP(Tabla2[[#This Row],[ID_TRANSACCION]],Hoja1!$B$4:$B$55,1,FALSE)</f>
        <v>BO_FS_202605042656640_29119172</v>
      </c>
    </row>
    <row r="3" spans="1:60" x14ac:dyDescent="0.25">
      <c r="A3" s="6">
        <v>46149</v>
      </c>
      <c r="B3" t="s">
        <v>47</v>
      </c>
      <c r="C3">
        <v>29152051</v>
      </c>
      <c r="E3" s="6">
        <v>46150</v>
      </c>
      <c r="H3" t="s">
        <v>48</v>
      </c>
      <c r="I3">
        <v>2658950</v>
      </c>
      <c r="K3" t="s">
        <v>49</v>
      </c>
      <c r="L3" t="s">
        <v>29</v>
      </c>
      <c r="M3" s="6">
        <v>46149</v>
      </c>
      <c r="N3" t="s">
        <v>30</v>
      </c>
      <c r="O3" t="s">
        <v>6</v>
      </c>
      <c r="Q3">
        <v>10</v>
      </c>
      <c r="R3" t="s">
        <v>522</v>
      </c>
      <c r="V3" t="s">
        <v>8</v>
      </c>
      <c r="W3" t="s">
        <v>9</v>
      </c>
      <c r="X3" t="s">
        <v>10</v>
      </c>
      <c r="Z3" t="s">
        <v>11</v>
      </c>
      <c r="AH3" t="s">
        <v>12</v>
      </c>
      <c r="AI3" t="s">
        <v>518</v>
      </c>
      <c r="AJ3" t="s">
        <v>519</v>
      </c>
      <c r="AK3" s="7">
        <v>2658950</v>
      </c>
      <c r="AL3" s="7">
        <v>29152051</v>
      </c>
      <c r="AM3" t="s">
        <v>51</v>
      </c>
      <c r="AN3" t="s">
        <v>15</v>
      </c>
      <c r="AO3" t="s">
        <v>12</v>
      </c>
      <c r="AP3" t="s">
        <v>16</v>
      </c>
      <c r="AQ3" t="s">
        <v>518</v>
      </c>
      <c r="AR3" t="s">
        <v>17</v>
      </c>
      <c r="AS3" t="s">
        <v>10</v>
      </c>
      <c r="AT3" t="s">
        <v>31</v>
      </c>
      <c r="AU3" t="s">
        <v>19</v>
      </c>
      <c r="AV3" s="1">
        <v>46148</v>
      </c>
      <c r="AW3" s="1">
        <v>46148.660740740743</v>
      </c>
      <c r="AX3">
        <v>202605</v>
      </c>
      <c r="AY3">
        <v>7</v>
      </c>
      <c r="AZ3" s="1">
        <v>46149</v>
      </c>
      <c r="BA3" s="1">
        <v>46149.637685185182</v>
      </c>
      <c r="BB3" t="s">
        <v>523</v>
      </c>
      <c r="BC3" t="s">
        <v>53</v>
      </c>
      <c r="BD3" t="s">
        <v>22</v>
      </c>
      <c r="BE3" s="7">
        <v>3744</v>
      </c>
      <c r="BF3" t="s">
        <v>521</v>
      </c>
      <c r="BH3" t="str">
        <f>VLOOKUP(Tabla2[[#This Row],[ID_TRANSACCION]],Hoja1!$B$4:$B$55,1,FALSE)</f>
        <v>BO_FS_202605072658950_29152051</v>
      </c>
    </row>
    <row r="4" spans="1:60" x14ac:dyDescent="0.25">
      <c r="A4" s="6">
        <v>46150</v>
      </c>
      <c r="B4" t="s">
        <v>41</v>
      </c>
      <c r="C4">
        <v>29158085</v>
      </c>
      <c r="E4" s="6">
        <v>46152</v>
      </c>
      <c r="H4" t="s">
        <v>42</v>
      </c>
      <c r="I4">
        <v>2659753</v>
      </c>
      <c r="K4" t="s">
        <v>43</v>
      </c>
      <c r="L4" t="s">
        <v>29</v>
      </c>
      <c r="M4" s="6">
        <v>46150</v>
      </c>
      <c r="N4" t="s">
        <v>30</v>
      </c>
      <c r="O4" t="s">
        <v>6</v>
      </c>
      <c r="Q4">
        <v>10</v>
      </c>
      <c r="R4" t="s">
        <v>524</v>
      </c>
      <c r="V4" t="s">
        <v>8</v>
      </c>
      <c r="W4" t="s">
        <v>9</v>
      </c>
      <c r="X4" t="s">
        <v>10</v>
      </c>
      <c r="Z4" t="s">
        <v>11</v>
      </c>
      <c r="AH4" t="s">
        <v>12</v>
      </c>
      <c r="AI4" t="s">
        <v>518</v>
      </c>
      <c r="AJ4" t="s">
        <v>519</v>
      </c>
      <c r="AK4" s="7">
        <v>2659753</v>
      </c>
      <c r="AL4" s="7">
        <v>29158085</v>
      </c>
      <c r="AM4" t="s">
        <v>42</v>
      </c>
      <c r="AN4" t="s">
        <v>15</v>
      </c>
      <c r="AO4" t="s">
        <v>12</v>
      </c>
      <c r="AP4" t="s">
        <v>16</v>
      </c>
      <c r="AQ4" t="s">
        <v>518</v>
      </c>
      <c r="AR4" t="s">
        <v>17</v>
      </c>
      <c r="AS4" t="s">
        <v>10</v>
      </c>
      <c r="AT4" t="s">
        <v>31</v>
      </c>
      <c r="AU4" t="s">
        <v>19</v>
      </c>
      <c r="AV4" s="1">
        <v>46149</v>
      </c>
      <c r="AW4" s="1">
        <v>46149.807800925926</v>
      </c>
      <c r="AX4">
        <v>202605</v>
      </c>
      <c r="AY4">
        <v>8</v>
      </c>
      <c r="AZ4" s="1">
        <v>46150</v>
      </c>
      <c r="BA4" s="1">
        <v>46150.641180555554</v>
      </c>
      <c r="BB4" t="s">
        <v>520</v>
      </c>
      <c r="BC4" t="s">
        <v>46</v>
      </c>
      <c r="BD4" t="s">
        <v>22</v>
      </c>
      <c r="BE4" s="7">
        <v>3744</v>
      </c>
      <c r="BF4" t="s">
        <v>521</v>
      </c>
      <c r="BH4" t="str">
        <f>VLOOKUP(Tabla2[[#This Row],[ID_TRANSACCION]],Hoja1!$B$4:$B$55,1,FALSE)</f>
        <v>BO_FS_202605082659753_29158085</v>
      </c>
    </row>
    <row r="5" spans="1:60" x14ac:dyDescent="0.25">
      <c r="A5" s="6">
        <v>46154</v>
      </c>
      <c r="B5" t="s">
        <v>299</v>
      </c>
      <c r="C5">
        <v>29170502</v>
      </c>
      <c r="E5" s="6">
        <v>46155</v>
      </c>
      <c r="H5" t="s">
        <v>300</v>
      </c>
      <c r="I5">
        <v>2661514</v>
      </c>
      <c r="K5" t="s">
        <v>301</v>
      </c>
      <c r="L5" t="s">
        <v>29</v>
      </c>
      <c r="M5" s="6">
        <v>46154</v>
      </c>
      <c r="N5" t="s">
        <v>30</v>
      </c>
      <c r="O5" t="s">
        <v>6</v>
      </c>
      <c r="Q5">
        <v>10</v>
      </c>
      <c r="V5" t="s">
        <v>8</v>
      </c>
      <c r="W5" t="s">
        <v>9</v>
      </c>
      <c r="X5" t="s">
        <v>10</v>
      </c>
      <c r="Z5" t="s">
        <v>11</v>
      </c>
      <c r="AH5" t="s">
        <v>12</v>
      </c>
      <c r="AI5" t="s">
        <v>518</v>
      </c>
      <c r="AJ5" t="s">
        <v>519</v>
      </c>
      <c r="AK5" s="7">
        <v>2661514</v>
      </c>
      <c r="AL5" s="7">
        <v>29170502</v>
      </c>
      <c r="AM5" t="s">
        <v>300</v>
      </c>
      <c r="AN5" t="s">
        <v>15</v>
      </c>
      <c r="AO5" t="s">
        <v>12</v>
      </c>
      <c r="AP5" t="s">
        <v>16</v>
      </c>
      <c r="AQ5" t="s">
        <v>518</v>
      </c>
      <c r="AR5" t="s">
        <v>17</v>
      </c>
      <c r="AS5" t="s">
        <v>10</v>
      </c>
      <c r="AT5" t="s">
        <v>31</v>
      </c>
      <c r="AU5" t="s">
        <v>19</v>
      </c>
      <c r="AV5" s="1">
        <v>46154</v>
      </c>
      <c r="AW5" s="1">
        <v>46154.577592592592</v>
      </c>
      <c r="AX5">
        <v>202605</v>
      </c>
      <c r="AY5">
        <v>12</v>
      </c>
      <c r="AZ5" s="1">
        <v>46154</v>
      </c>
      <c r="BA5" s="1">
        <v>46154.68136574074</v>
      </c>
      <c r="BB5" t="s">
        <v>525</v>
      </c>
      <c r="BC5" t="s">
        <v>303</v>
      </c>
      <c r="BD5" t="s">
        <v>22</v>
      </c>
      <c r="BE5" s="7">
        <v>3744</v>
      </c>
      <c r="BF5" t="s">
        <v>521</v>
      </c>
      <c r="BH5" t="str">
        <f>VLOOKUP(Tabla2[[#This Row],[ID_TRANSACCION]],Hoja1!$B$4:$B$55,1,FALSE)</f>
        <v>BO_FS_202605122661514_29170502</v>
      </c>
    </row>
    <row r="6" spans="1:60" x14ac:dyDescent="0.25">
      <c r="A6" s="6">
        <v>46155</v>
      </c>
      <c r="B6" t="s">
        <v>291</v>
      </c>
      <c r="C6">
        <v>29162779</v>
      </c>
      <c r="E6" s="6">
        <v>46155</v>
      </c>
      <c r="H6" t="s">
        <v>292</v>
      </c>
      <c r="I6">
        <v>2660360</v>
      </c>
      <c r="K6" t="s">
        <v>293</v>
      </c>
      <c r="L6" t="s">
        <v>29</v>
      </c>
      <c r="M6" s="6">
        <v>46155</v>
      </c>
      <c r="N6" t="s">
        <v>30</v>
      </c>
      <c r="O6" t="s">
        <v>6</v>
      </c>
      <c r="Q6">
        <v>9</v>
      </c>
      <c r="R6" t="s">
        <v>334</v>
      </c>
      <c r="V6" t="s">
        <v>8</v>
      </c>
      <c r="W6" t="s">
        <v>9</v>
      </c>
      <c r="X6" t="s">
        <v>10</v>
      </c>
      <c r="Z6" t="s">
        <v>11</v>
      </c>
      <c r="AH6" t="s">
        <v>12</v>
      </c>
      <c r="AI6" t="s">
        <v>518</v>
      </c>
      <c r="AJ6" t="s">
        <v>519</v>
      </c>
      <c r="AK6" s="7">
        <v>2660360</v>
      </c>
      <c r="AL6" s="7">
        <v>29162779</v>
      </c>
      <c r="AM6" t="s">
        <v>292</v>
      </c>
      <c r="AN6" t="s">
        <v>15</v>
      </c>
      <c r="AO6" t="s">
        <v>12</v>
      </c>
      <c r="AP6" t="s">
        <v>16</v>
      </c>
      <c r="AQ6" t="s">
        <v>518</v>
      </c>
      <c r="AR6" t="s">
        <v>17</v>
      </c>
      <c r="AS6" t="s">
        <v>10</v>
      </c>
      <c r="AT6" t="s">
        <v>31</v>
      </c>
      <c r="AU6" t="s">
        <v>19</v>
      </c>
      <c r="AV6" s="1">
        <v>46155</v>
      </c>
      <c r="AW6" s="1">
        <v>46155.404282407406</v>
      </c>
      <c r="AX6">
        <v>202605</v>
      </c>
      <c r="AY6">
        <v>13</v>
      </c>
      <c r="AZ6" s="1">
        <v>46155</v>
      </c>
      <c r="BA6" s="1">
        <v>46155.723703703705</v>
      </c>
      <c r="BB6" t="s">
        <v>526</v>
      </c>
      <c r="BC6" t="s">
        <v>298</v>
      </c>
      <c r="BD6" t="s">
        <v>22</v>
      </c>
      <c r="BE6" s="7">
        <v>3744</v>
      </c>
      <c r="BF6" t="s">
        <v>521</v>
      </c>
      <c r="BH6" t="str">
        <f>VLOOKUP(Tabla2[[#This Row],[ID_TRANSACCION]],Hoja1!$B$4:$B$55,1,FALSE)</f>
        <v>BO_FS_202605132660360_29162779</v>
      </c>
    </row>
    <row r="7" spans="1:60" x14ac:dyDescent="0.25">
      <c r="A7" s="6">
        <v>46155</v>
      </c>
      <c r="B7" t="s">
        <v>304</v>
      </c>
      <c r="C7">
        <v>29169248</v>
      </c>
      <c r="E7" s="6">
        <v>46155</v>
      </c>
      <c r="H7" t="s">
        <v>305</v>
      </c>
      <c r="I7">
        <v>2661220</v>
      </c>
      <c r="K7" t="s">
        <v>306</v>
      </c>
      <c r="L7" t="s">
        <v>29</v>
      </c>
      <c r="M7" s="6">
        <v>46155</v>
      </c>
      <c r="N7" t="s">
        <v>30</v>
      </c>
      <c r="O7" t="s">
        <v>6</v>
      </c>
      <c r="Q7">
        <v>10</v>
      </c>
      <c r="R7" t="s">
        <v>307</v>
      </c>
      <c r="V7" t="s">
        <v>8</v>
      </c>
      <c r="W7" t="s">
        <v>9</v>
      </c>
      <c r="X7" t="s">
        <v>10</v>
      </c>
      <c r="Z7" t="s">
        <v>11</v>
      </c>
      <c r="AH7" t="s">
        <v>12</v>
      </c>
      <c r="AI7" t="s">
        <v>518</v>
      </c>
      <c r="AJ7" t="s">
        <v>519</v>
      </c>
      <c r="AK7" s="7">
        <v>2661220</v>
      </c>
      <c r="AL7" s="7">
        <v>29169248</v>
      </c>
      <c r="AM7" t="s">
        <v>305</v>
      </c>
      <c r="AN7" t="s">
        <v>15</v>
      </c>
      <c r="AO7" t="s">
        <v>12</v>
      </c>
      <c r="AP7" t="s">
        <v>16</v>
      </c>
      <c r="AQ7" t="s">
        <v>518</v>
      </c>
      <c r="AR7" t="s">
        <v>17</v>
      </c>
      <c r="AS7" t="s">
        <v>10</v>
      </c>
      <c r="AT7" t="s">
        <v>31</v>
      </c>
      <c r="AU7" t="s">
        <v>19</v>
      </c>
      <c r="AV7" s="1">
        <v>46154</v>
      </c>
      <c r="AW7" s="1">
        <v>46154.460335648146</v>
      </c>
      <c r="AX7">
        <v>202605</v>
      </c>
      <c r="AY7">
        <v>13</v>
      </c>
      <c r="AZ7" s="1">
        <v>46155</v>
      </c>
      <c r="BA7" s="1">
        <v>46155.383750000001</v>
      </c>
      <c r="BB7" t="s">
        <v>527</v>
      </c>
      <c r="BC7" t="s">
        <v>309</v>
      </c>
      <c r="BD7" t="s">
        <v>22</v>
      </c>
      <c r="BE7" s="7">
        <v>3744</v>
      </c>
      <c r="BF7" t="s">
        <v>521</v>
      </c>
      <c r="BH7" t="str">
        <f>VLOOKUP(Tabla2[[#This Row],[ID_TRANSACCION]],Hoja1!$B$4:$B$55,1,FALSE)</f>
        <v>BO_FS_202605132661220_29169248</v>
      </c>
    </row>
    <row r="8" spans="1:60" x14ac:dyDescent="0.25">
      <c r="A8" s="6">
        <v>46154</v>
      </c>
      <c r="B8" t="s">
        <v>310</v>
      </c>
      <c r="C8">
        <v>29166472</v>
      </c>
      <c r="E8" s="6">
        <v>46155</v>
      </c>
      <c r="H8" t="s">
        <v>311</v>
      </c>
      <c r="I8">
        <v>2660805</v>
      </c>
      <c r="K8" t="s">
        <v>312</v>
      </c>
      <c r="L8" t="s">
        <v>29</v>
      </c>
      <c r="M8" s="6">
        <v>46154</v>
      </c>
      <c r="N8" t="s">
        <v>30</v>
      </c>
      <c r="O8" t="s">
        <v>6</v>
      </c>
      <c r="Q8">
        <v>9</v>
      </c>
      <c r="R8" t="s">
        <v>528</v>
      </c>
      <c r="V8" t="s">
        <v>8</v>
      </c>
      <c r="W8" t="s">
        <v>9</v>
      </c>
      <c r="X8" t="s">
        <v>10</v>
      </c>
      <c r="Z8" t="s">
        <v>11</v>
      </c>
      <c r="AH8" t="s">
        <v>12</v>
      </c>
      <c r="AI8" t="s">
        <v>518</v>
      </c>
      <c r="AJ8" t="s">
        <v>519</v>
      </c>
      <c r="AK8" s="7">
        <v>2660805</v>
      </c>
      <c r="AL8" s="7">
        <v>29166472</v>
      </c>
      <c r="AM8" t="s">
        <v>311</v>
      </c>
      <c r="AN8" t="s">
        <v>15</v>
      </c>
      <c r="AO8" t="s">
        <v>12</v>
      </c>
      <c r="AP8" t="s">
        <v>16</v>
      </c>
      <c r="AQ8" t="s">
        <v>518</v>
      </c>
      <c r="AR8" t="s">
        <v>17</v>
      </c>
      <c r="AS8" t="s">
        <v>10</v>
      </c>
      <c r="AT8" t="s">
        <v>31</v>
      </c>
      <c r="AU8" t="s">
        <v>19</v>
      </c>
      <c r="AV8" s="1">
        <v>46152</v>
      </c>
      <c r="AW8" s="1">
        <v>46152.503622685188</v>
      </c>
      <c r="AX8">
        <v>202605</v>
      </c>
      <c r="AY8">
        <v>12</v>
      </c>
      <c r="AZ8" s="1">
        <v>46154</v>
      </c>
      <c r="BA8" s="1">
        <v>46154.621481481481</v>
      </c>
      <c r="BB8" t="s">
        <v>526</v>
      </c>
      <c r="BC8" t="s">
        <v>314</v>
      </c>
      <c r="BD8" t="s">
        <v>22</v>
      </c>
      <c r="BE8" s="7">
        <v>3744</v>
      </c>
      <c r="BF8" t="s">
        <v>521</v>
      </c>
      <c r="BH8" t="str">
        <f>VLOOKUP(Tabla2[[#This Row],[ID_TRANSACCION]],Hoja1!$B$4:$B$55,1,FALSE)</f>
        <v>BO_FS_202605122660805_29166472</v>
      </c>
    </row>
    <row r="9" spans="1:60" x14ac:dyDescent="0.25">
      <c r="A9" s="6">
        <v>46155</v>
      </c>
      <c r="B9" t="s">
        <v>325</v>
      </c>
      <c r="C9">
        <v>29122286</v>
      </c>
      <c r="E9" s="6">
        <v>46155</v>
      </c>
      <c r="H9" t="s">
        <v>326</v>
      </c>
      <c r="I9">
        <v>2657172</v>
      </c>
      <c r="K9" t="s">
        <v>327</v>
      </c>
      <c r="L9" t="s">
        <v>29</v>
      </c>
      <c r="M9" s="6">
        <v>46155</v>
      </c>
      <c r="N9" t="s">
        <v>30</v>
      </c>
      <c r="O9" t="s">
        <v>6</v>
      </c>
      <c r="Q9">
        <v>10</v>
      </c>
      <c r="R9" t="s">
        <v>529</v>
      </c>
      <c r="V9" t="s">
        <v>8</v>
      </c>
      <c r="W9" t="s">
        <v>9</v>
      </c>
      <c r="X9" t="s">
        <v>10</v>
      </c>
      <c r="Z9" t="s">
        <v>11</v>
      </c>
      <c r="AH9" t="s">
        <v>12</v>
      </c>
      <c r="AI9" t="s">
        <v>518</v>
      </c>
      <c r="AJ9" t="s">
        <v>519</v>
      </c>
      <c r="AK9" s="7">
        <v>2657172</v>
      </c>
      <c r="AL9" s="7">
        <v>29122286</v>
      </c>
      <c r="AM9" t="s">
        <v>326</v>
      </c>
      <c r="AN9" t="s">
        <v>15</v>
      </c>
      <c r="AO9" t="s">
        <v>12</v>
      </c>
      <c r="AP9" t="s">
        <v>16</v>
      </c>
      <c r="AQ9" t="s">
        <v>518</v>
      </c>
      <c r="AR9" t="s">
        <v>17</v>
      </c>
      <c r="AS9" t="s">
        <v>10</v>
      </c>
      <c r="AT9" t="s">
        <v>31</v>
      </c>
      <c r="AU9" t="s">
        <v>19</v>
      </c>
      <c r="AV9" s="1">
        <v>46152</v>
      </c>
      <c r="AW9" s="1">
        <v>46152.672650462962</v>
      </c>
      <c r="AX9">
        <v>202605</v>
      </c>
      <c r="AY9">
        <v>13</v>
      </c>
      <c r="AZ9" s="1">
        <v>46155</v>
      </c>
      <c r="BA9" s="1">
        <v>46155.664039351854</v>
      </c>
      <c r="BB9" t="s">
        <v>527</v>
      </c>
      <c r="BC9" t="s">
        <v>330</v>
      </c>
      <c r="BD9" t="s">
        <v>22</v>
      </c>
      <c r="BE9" s="7">
        <v>3744</v>
      </c>
      <c r="BF9" t="s">
        <v>521</v>
      </c>
      <c r="BH9" t="str">
        <f>VLOOKUP(Tabla2[[#This Row],[ID_TRANSACCION]],Hoja1!$B$4:$B$55,1,FALSE)</f>
        <v>BO_FS_202605132657172_29122286</v>
      </c>
    </row>
    <row r="10" spans="1:60" x14ac:dyDescent="0.25">
      <c r="A10" s="6">
        <v>46155</v>
      </c>
      <c r="B10" t="s">
        <v>331</v>
      </c>
      <c r="C10">
        <v>29172091</v>
      </c>
      <c r="E10" s="6">
        <v>46155</v>
      </c>
      <c r="H10" t="s">
        <v>332</v>
      </c>
      <c r="I10">
        <v>2661737</v>
      </c>
      <c r="K10" t="s">
        <v>333</v>
      </c>
      <c r="L10" t="s">
        <v>29</v>
      </c>
      <c r="M10" s="6">
        <v>46155</v>
      </c>
      <c r="N10" t="s">
        <v>30</v>
      </c>
      <c r="O10" t="s">
        <v>6</v>
      </c>
      <c r="Q10">
        <v>10</v>
      </c>
      <c r="R10" t="s">
        <v>334</v>
      </c>
      <c r="V10" t="s">
        <v>8</v>
      </c>
      <c r="W10" t="s">
        <v>9</v>
      </c>
      <c r="X10" t="s">
        <v>10</v>
      </c>
      <c r="Z10" t="s">
        <v>11</v>
      </c>
      <c r="AH10" t="s">
        <v>12</v>
      </c>
      <c r="AI10" t="s">
        <v>518</v>
      </c>
      <c r="AJ10" t="s">
        <v>519</v>
      </c>
      <c r="AK10" s="7">
        <v>2661737</v>
      </c>
      <c r="AL10" s="7">
        <v>29172091</v>
      </c>
      <c r="AM10" t="s">
        <v>332</v>
      </c>
      <c r="AN10" t="s">
        <v>15</v>
      </c>
      <c r="AO10" t="s">
        <v>12</v>
      </c>
      <c r="AP10" t="s">
        <v>16</v>
      </c>
      <c r="AQ10" t="s">
        <v>518</v>
      </c>
      <c r="AR10" t="s">
        <v>17</v>
      </c>
      <c r="AS10" t="s">
        <v>10</v>
      </c>
      <c r="AT10" t="s">
        <v>31</v>
      </c>
      <c r="AU10" t="s">
        <v>19</v>
      </c>
      <c r="AV10" s="1">
        <v>46154</v>
      </c>
      <c r="AW10" s="1">
        <v>46154.725231481483</v>
      </c>
      <c r="AX10">
        <v>202605</v>
      </c>
      <c r="AY10">
        <v>13</v>
      </c>
      <c r="AZ10" s="1">
        <v>46155</v>
      </c>
      <c r="BA10" s="1">
        <v>46155.465173611112</v>
      </c>
      <c r="BB10" t="s">
        <v>530</v>
      </c>
      <c r="BC10" t="s">
        <v>336</v>
      </c>
      <c r="BD10" t="s">
        <v>22</v>
      </c>
      <c r="BE10" s="7">
        <v>3744</v>
      </c>
      <c r="BF10" t="s">
        <v>521</v>
      </c>
      <c r="BH10" t="str">
        <f>VLOOKUP(Tabla2[[#This Row],[ID_TRANSACCION]],Hoja1!$B$4:$B$55,1,FALSE)</f>
        <v>BO_FS_202605132661737_29172091</v>
      </c>
    </row>
    <row r="11" spans="1:60" x14ac:dyDescent="0.25">
      <c r="A11" s="6">
        <v>46154</v>
      </c>
      <c r="B11" t="s">
        <v>315</v>
      </c>
      <c r="C11">
        <v>29166307</v>
      </c>
      <c r="E11" s="6">
        <v>46155</v>
      </c>
      <c r="H11" t="s">
        <v>316</v>
      </c>
      <c r="I11">
        <v>2660786</v>
      </c>
      <c r="K11" t="s">
        <v>317</v>
      </c>
      <c r="L11" t="s">
        <v>29</v>
      </c>
      <c r="M11" s="6">
        <v>46154</v>
      </c>
      <c r="N11" t="s">
        <v>30</v>
      </c>
      <c r="O11" t="s">
        <v>6</v>
      </c>
      <c r="Q11">
        <v>10</v>
      </c>
      <c r="R11" t="s">
        <v>531</v>
      </c>
      <c r="V11" t="s">
        <v>8</v>
      </c>
      <c r="W11" t="s">
        <v>9</v>
      </c>
      <c r="X11" t="s">
        <v>10</v>
      </c>
      <c r="Z11" t="s">
        <v>11</v>
      </c>
      <c r="AH11" t="s">
        <v>12</v>
      </c>
      <c r="AI11" t="s">
        <v>518</v>
      </c>
      <c r="AJ11" t="s">
        <v>519</v>
      </c>
      <c r="AK11" s="7">
        <v>2660786</v>
      </c>
      <c r="AL11" s="7">
        <v>29166307</v>
      </c>
      <c r="AM11" t="s">
        <v>316</v>
      </c>
      <c r="AN11" t="s">
        <v>15</v>
      </c>
      <c r="AO11" t="s">
        <v>12</v>
      </c>
      <c r="AP11" t="s">
        <v>16</v>
      </c>
      <c r="AQ11" t="s">
        <v>518</v>
      </c>
      <c r="AR11" t="s">
        <v>17</v>
      </c>
      <c r="AS11" t="s">
        <v>10</v>
      </c>
      <c r="AT11" t="s">
        <v>31</v>
      </c>
      <c r="AU11" t="s">
        <v>19</v>
      </c>
      <c r="AV11" s="1">
        <v>46152</v>
      </c>
      <c r="AW11" s="1">
        <v>46152.442430555559</v>
      </c>
      <c r="AX11">
        <v>202605</v>
      </c>
      <c r="AY11">
        <v>12</v>
      </c>
      <c r="AZ11" s="1">
        <v>46154</v>
      </c>
      <c r="BA11" s="1">
        <v>46154.439340277779</v>
      </c>
      <c r="BB11" t="s">
        <v>532</v>
      </c>
      <c r="BC11" t="s">
        <v>319</v>
      </c>
      <c r="BD11" t="s">
        <v>22</v>
      </c>
      <c r="BE11" s="7">
        <v>3744</v>
      </c>
      <c r="BF11" t="s">
        <v>521</v>
      </c>
      <c r="BH11" t="str">
        <f>VLOOKUP(Tabla2[[#This Row],[ID_TRANSACCION]],Hoja1!$B$4:$B$55,1,FALSE)</f>
        <v>BO_FS_202605122660786_29166307</v>
      </c>
    </row>
    <row r="12" spans="1:60" x14ac:dyDescent="0.25">
      <c r="A12" s="6">
        <v>46154</v>
      </c>
      <c r="B12" t="s">
        <v>320</v>
      </c>
      <c r="C12">
        <v>29166247</v>
      </c>
      <c r="E12" s="6">
        <v>46155</v>
      </c>
      <c r="H12" t="s">
        <v>321</v>
      </c>
      <c r="I12">
        <v>2660779</v>
      </c>
      <c r="K12" t="s">
        <v>322</v>
      </c>
      <c r="L12" t="s">
        <v>29</v>
      </c>
      <c r="M12" s="6">
        <v>46154</v>
      </c>
      <c r="N12" t="s">
        <v>30</v>
      </c>
      <c r="O12" t="s">
        <v>6</v>
      </c>
      <c r="Q12">
        <v>10</v>
      </c>
      <c r="V12" t="s">
        <v>8</v>
      </c>
      <c r="W12" t="s">
        <v>9</v>
      </c>
      <c r="X12" t="s">
        <v>10</v>
      </c>
      <c r="Z12" t="s">
        <v>11</v>
      </c>
      <c r="AH12" t="s">
        <v>12</v>
      </c>
      <c r="AI12" t="s">
        <v>518</v>
      </c>
      <c r="AJ12" t="s">
        <v>519</v>
      </c>
      <c r="AK12" s="7">
        <v>2660779</v>
      </c>
      <c r="AL12" s="7">
        <v>29166247</v>
      </c>
      <c r="AM12" t="s">
        <v>321</v>
      </c>
      <c r="AN12" t="s">
        <v>15</v>
      </c>
      <c r="AO12" t="s">
        <v>12</v>
      </c>
      <c r="AP12" t="s">
        <v>16</v>
      </c>
      <c r="AQ12" t="s">
        <v>518</v>
      </c>
      <c r="AR12" t="s">
        <v>17</v>
      </c>
      <c r="AS12" t="s">
        <v>10</v>
      </c>
      <c r="AT12" t="s">
        <v>31</v>
      </c>
      <c r="AU12" t="s">
        <v>19</v>
      </c>
      <c r="AV12" s="1">
        <v>46152</v>
      </c>
      <c r="AW12" s="1">
        <v>46152.407754629632</v>
      </c>
      <c r="AX12">
        <v>202605</v>
      </c>
      <c r="AY12">
        <v>12</v>
      </c>
      <c r="AZ12" s="1">
        <v>46154</v>
      </c>
      <c r="BA12" s="1">
        <v>46154.438784722224</v>
      </c>
      <c r="BB12" t="s">
        <v>533</v>
      </c>
      <c r="BC12" t="s">
        <v>324</v>
      </c>
      <c r="BD12" t="s">
        <v>22</v>
      </c>
      <c r="BE12" s="7">
        <v>3744</v>
      </c>
      <c r="BF12" t="s">
        <v>521</v>
      </c>
      <c r="BH12" t="str">
        <f>VLOOKUP(Tabla2[[#This Row],[ID_TRANSACCION]],Hoja1!$B$4:$B$55,1,FALSE)</f>
        <v>BO_FS_202605122660779_29166247</v>
      </c>
    </row>
    <row r="13" spans="1:60" x14ac:dyDescent="0.25">
      <c r="A13" s="6">
        <v>46156</v>
      </c>
      <c r="B13" t="s">
        <v>197</v>
      </c>
      <c r="C13">
        <v>29168783</v>
      </c>
      <c r="E13" s="6">
        <v>46159</v>
      </c>
      <c r="H13" t="s">
        <v>199</v>
      </c>
      <c r="I13">
        <v>2661045</v>
      </c>
      <c r="K13" t="s">
        <v>200</v>
      </c>
      <c r="L13" t="s">
        <v>29</v>
      </c>
      <c r="M13" s="6">
        <v>46156</v>
      </c>
      <c r="N13" t="s">
        <v>30</v>
      </c>
      <c r="O13" t="s">
        <v>6</v>
      </c>
      <c r="Q13">
        <v>10</v>
      </c>
      <c r="V13" t="s">
        <v>8</v>
      </c>
      <c r="W13" t="s">
        <v>9</v>
      </c>
      <c r="X13" t="s">
        <v>10</v>
      </c>
      <c r="Z13" t="s">
        <v>11</v>
      </c>
      <c r="AH13" t="s">
        <v>12</v>
      </c>
      <c r="AI13" t="s">
        <v>518</v>
      </c>
      <c r="AJ13" t="s">
        <v>519</v>
      </c>
      <c r="AK13" s="7">
        <v>2661045</v>
      </c>
      <c r="AL13" s="7">
        <v>29168783</v>
      </c>
      <c r="AM13" t="s">
        <v>199</v>
      </c>
      <c r="AN13" t="s">
        <v>15</v>
      </c>
      <c r="AO13" t="s">
        <v>12</v>
      </c>
      <c r="AP13" t="s">
        <v>16</v>
      </c>
      <c r="AQ13" t="s">
        <v>518</v>
      </c>
      <c r="AR13" t="s">
        <v>17</v>
      </c>
      <c r="AS13" t="s">
        <v>10</v>
      </c>
      <c r="AT13" t="s">
        <v>31</v>
      </c>
      <c r="AU13" t="s">
        <v>19</v>
      </c>
      <c r="AV13" s="1">
        <v>46156</v>
      </c>
      <c r="AW13" s="1">
        <v>46156.524641203701</v>
      </c>
      <c r="AX13">
        <v>202605</v>
      </c>
      <c r="AY13">
        <v>14</v>
      </c>
      <c r="AZ13" s="1">
        <v>46156</v>
      </c>
      <c r="BA13" s="1">
        <v>46156.826782407406</v>
      </c>
      <c r="BB13" t="s">
        <v>534</v>
      </c>
      <c r="BC13" t="s">
        <v>204</v>
      </c>
      <c r="BD13" t="s">
        <v>22</v>
      </c>
      <c r="BE13" s="7">
        <v>3744</v>
      </c>
      <c r="BF13" t="s">
        <v>521</v>
      </c>
      <c r="BH13" t="str">
        <f>VLOOKUP(Tabla2[[#This Row],[ID_TRANSACCION]],Hoja1!$B$4:$B$55,1,FALSE)</f>
        <v>BO_FS_202605142661045_29168783</v>
      </c>
    </row>
    <row r="14" spans="1:60" x14ac:dyDescent="0.25">
      <c r="A14" s="6">
        <v>46156</v>
      </c>
      <c r="B14" t="s">
        <v>269</v>
      </c>
      <c r="C14">
        <v>29178234</v>
      </c>
      <c r="E14" s="6">
        <v>46159</v>
      </c>
      <c r="H14" t="s">
        <v>270</v>
      </c>
      <c r="I14">
        <v>2662574</v>
      </c>
      <c r="K14" t="s">
        <v>271</v>
      </c>
      <c r="L14" t="s">
        <v>29</v>
      </c>
      <c r="M14" s="6">
        <v>46156</v>
      </c>
      <c r="N14" t="s">
        <v>30</v>
      </c>
      <c r="O14" t="s">
        <v>6</v>
      </c>
      <c r="Q14">
        <v>10</v>
      </c>
      <c r="V14" t="s">
        <v>8</v>
      </c>
      <c r="W14" t="s">
        <v>9</v>
      </c>
      <c r="X14" t="s">
        <v>10</v>
      </c>
      <c r="Z14" t="s">
        <v>11</v>
      </c>
      <c r="AH14" t="s">
        <v>12</v>
      </c>
      <c r="AI14" t="s">
        <v>518</v>
      </c>
      <c r="AJ14" t="s">
        <v>519</v>
      </c>
      <c r="AK14" s="7">
        <v>2662574</v>
      </c>
      <c r="AL14" s="7">
        <v>29178234</v>
      </c>
      <c r="AM14" t="s">
        <v>270</v>
      </c>
      <c r="AN14" t="s">
        <v>15</v>
      </c>
      <c r="AO14" t="s">
        <v>12</v>
      </c>
      <c r="AP14" t="s">
        <v>16</v>
      </c>
      <c r="AQ14" t="s">
        <v>518</v>
      </c>
      <c r="AR14" t="s">
        <v>17</v>
      </c>
      <c r="AS14" t="s">
        <v>10</v>
      </c>
      <c r="AT14" t="s">
        <v>31</v>
      </c>
      <c r="AU14" t="s">
        <v>19</v>
      </c>
      <c r="AV14" s="1">
        <v>46156</v>
      </c>
      <c r="AW14" s="1">
        <v>46156.381238425929</v>
      </c>
      <c r="AX14">
        <v>202605</v>
      </c>
      <c r="AY14">
        <v>14</v>
      </c>
      <c r="AZ14" s="1">
        <v>46156</v>
      </c>
      <c r="BA14" s="1">
        <v>46156.597256944442</v>
      </c>
      <c r="BB14" t="s">
        <v>535</v>
      </c>
      <c r="BC14" t="s">
        <v>275</v>
      </c>
      <c r="BD14" t="s">
        <v>22</v>
      </c>
      <c r="BE14" s="7">
        <v>3744</v>
      </c>
      <c r="BF14" t="s">
        <v>521</v>
      </c>
      <c r="BH14" t="str">
        <f>VLOOKUP(Tabla2[[#This Row],[ID_TRANSACCION]],Hoja1!$B$4:$B$55,1,FALSE)</f>
        <v>BO_FS_202605142662574_29178234</v>
      </c>
    </row>
    <row r="15" spans="1:60" x14ac:dyDescent="0.25">
      <c r="A15" s="6">
        <v>46159</v>
      </c>
      <c r="B15" t="s">
        <v>261</v>
      </c>
      <c r="C15">
        <v>29185528</v>
      </c>
      <c r="E15" s="6">
        <v>46159</v>
      </c>
      <c r="H15" t="s">
        <v>262</v>
      </c>
      <c r="I15">
        <v>2663715</v>
      </c>
      <c r="K15" t="s">
        <v>263</v>
      </c>
      <c r="L15" t="s">
        <v>29</v>
      </c>
      <c r="M15" s="6">
        <v>46159</v>
      </c>
      <c r="N15" t="s">
        <v>30</v>
      </c>
      <c r="O15" t="s">
        <v>6</v>
      </c>
      <c r="Q15">
        <v>10</v>
      </c>
      <c r="R15" t="s">
        <v>536</v>
      </c>
      <c r="V15" t="s">
        <v>8</v>
      </c>
      <c r="W15" t="s">
        <v>9</v>
      </c>
      <c r="X15" t="s">
        <v>10</v>
      </c>
      <c r="Z15" t="s">
        <v>11</v>
      </c>
      <c r="AH15" t="s">
        <v>12</v>
      </c>
      <c r="AI15" t="s">
        <v>518</v>
      </c>
      <c r="AJ15" t="s">
        <v>519</v>
      </c>
      <c r="AK15" s="7">
        <v>2663715</v>
      </c>
      <c r="AL15" s="7">
        <v>29185528</v>
      </c>
      <c r="AM15" t="s">
        <v>262</v>
      </c>
      <c r="AN15" t="s">
        <v>15</v>
      </c>
      <c r="AO15" t="s">
        <v>12</v>
      </c>
      <c r="AP15" t="s">
        <v>16</v>
      </c>
      <c r="AQ15" t="s">
        <v>518</v>
      </c>
      <c r="AR15" t="s">
        <v>17</v>
      </c>
      <c r="AS15" t="s">
        <v>10</v>
      </c>
      <c r="AT15" t="s">
        <v>31</v>
      </c>
      <c r="AU15" t="s">
        <v>19</v>
      </c>
      <c r="AV15" s="1">
        <v>46157</v>
      </c>
      <c r="AW15" s="1">
        <v>46157.86482638889</v>
      </c>
      <c r="AX15">
        <v>202605</v>
      </c>
      <c r="AY15">
        <v>17</v>
      </c>
      <c r="AZ15" s="1">
        <v>46159</v>
      </c>
      <c r="BA15" s="1">
        <v>46159.396041666667</v>
      </c>
      <c r="BB15" t="s">
        <v>537</v>
      </c>
      <c r="BC15" t="s">
        <v>268</v>
      </c>
      <c r="BD15" t="s">
        <v>22</v>
      </c>
      <c r="BE15" s="7">
        <v>3744</v>
      </c>
      <c r="BF15" t="s">
        <v>521</v>
      </c>
      <c r="BH15" t="str">
        <f>VLOOKUP(Tabla2[[#This Row],[ID_TRANSACCION]],Hoja1!$B$4:$B$55,1,FALSE)</f>
        <v>BO_FS_202605172663715_29185528</v>
      </c>
    </row>
    <row r="16" spans="1:60" x14ac:dyDescent="0.25">
      <c r="A16" s="6">
        <v>46159</v>
      </c>
      <c r="B16" t="s">
        <v>276</v>
      </c>
      <c r="C16">
        <v>29188289</v>
      </c>
      <c r="E16" s="6">
        <v>46159</v>
      </c>
      <c r="H16" t="s">
        <v>277</v>
      </c>
      <c r="I16">
        <v>2664029</v>
      </c>
      <c r="K16" t="s">
        <v>278</v>
      </c>
      <c r="L16" t="s">
        <v>29</v>
      </c>
      <c r="M16" s="6">
        <v>46159</v>
      </c>
      <c r="N16" t="s">
        <v>30</v>
      </c>
      <c r="O16" t="s">
        <v>6</v>
      </c>
      <c r="Q16">
        <v>10</v>
      </c>
      <c r="R16" t="s">
        <v>538</v>
      </c>
      <c r="V16" t="s">
        <v>280</v>
      </c>
      <c r="W16" t="s">
        <v>9</v>
      </c>
      <c r="X16" t="s">
        <v>10</v>
      </c>
      <c r="Z16" t="s">
        <v>11</v>
      </c>
      <c r="AH16" t="s">
        <v>12</v>
      </c>
      <c r="AI16" t="s">
        <v>518</v>
      </c>
      <c r="AJ16" t="s">
        <v>519</v>
      </c>
      <c r="AK16" s="7">
        <v>2664029</v>
      </c>
      <c r="AL16" s="7">
        <v>29188289</v>
      </c>
      <c r="AM16" t="s">
        <v>277</v>
      </c>
      <c r="AN16" t="s">
        <v>15</v>
      </c>
      <c r="AO16" t="s">
        <v>12</v>
      </c>
      <c r="AP16" t="s">
        <v>16</v>
      </c>
      <c r="AQ16" t="s">
        <v>518</v>
      </c>
      <c r="AR16" t="s">
        <v>17</v>
      </c>
      <c r="AS16" t="s">
        <v>10</v>
      </c>
      <c r="AT16" t="s">
        <v>31</v>
      </c>
      <c r="AU16" t="s">
        <v>19</v>
      </c>
      <c r="AV16" s="1">
        <v>46158</v>
      </c>
      <c r="AW16" s="1">
        <v>46158.848391203705</v>
      </c>
      <c r="AX16">
        <v>202605</v>
      </c>
      <c r="AY16">
        <v>17</v>
      </c>
      <c r="AZ16" s="1">
        <v>46159</v>
      </c>
      <c r="BA16" s="1">
        <v>46159.540983796294</v>
      </c>
      <c r="BB16" t="s">
        <v>537</v>
      </c>
      <c r="BC16" t="s">
        <v>283</v>
      </c>
      <c r="BD16" t="s">
        <v>22</v>
      </c>
      <c r="BE16" s="7">
        <v>3744</v>
      </c>
      <c r="BF16" t="s">
        <v>521</v>
      </c>
      <c r="BH16" t="str">
        <f>VLOOKUP(Tabla2[[#This Row],[ID_TRANSACCION]],Hoja1!$B$4:$B$55,1,FALSE)</f>
        <v>BO_FS_202605172664029_29188289</v>
      </c>
    </row>
    <row r="17" spans="1:60" x14ac:dyDescent="0.25">
      <c r="A17" s="6">
        <v>46158</v>
      </c>
      <c r="B17" t="s">
        <v>254</v>
      </c>
      <c r="C17">
        <v>29186660</v>
      </c>
      <c r="E17" s="6">
        <v>46159</v>
      </c>
      <c r="H17" t="s">
        <v>255</v>
      </c>
      <c r="I17">
        <v>2663801</v>
      </c>
      <c r="K17" t="s">
        <v>256</v>
      </c>
      <c r="L17" t="s">
        <v>29</v>
      </c>
      <c r="M17" s="6">
        <v>46158</v>
      </c>
      <c r="N17" t="s">
        <v>30</v>
      </c>
      <c r="O17" t="s">
        <v>6</v>
      </c>
      <c r="Q17">
        <v>10</v>
      </c>
      <c r="V17" t="s">
        <v>8</v>
      </c>
      <c r="W17" t="s">
        <v>9</v>
      </c>
      <c r="X17" t="s">
        <v>10</v>
      </c>
      <c r="Z17" t="s">
        <v>11</v>
      </c>
      <c r="AH17" t="s">
        <v>12</v>
      </c>
      <c r="AI17" t="s">
        <v>518</v>
      </c>
      <c r="AJ17" t="s">
        <v>519</v>
      </c>
      <c r="AK17" s="7">
        <v>2663801</v>
      </c>
      <c r="AL17" s="7">
        <v>29186660</v>
      </c>
      <c r="AM17" t="s">
        <v>255</v>
      </c>
      <c r="AN17" t="s">
        <v>15</v>
      </c>
      <c r="AO17" t="s">
        <v>12</v>
      </c>
      <c r="AP17" t="s">
        <v>16</v>
      </c>
      <c r="AQ17" t="s">
        <v>518</v>
      </c>
      <c r="AR17" t="s">
        <v>17</v>
      </c>
      <c r="AS17" t="s">
        <v>10</v>
      </c>
      <c r="AT17" t="s">
        <v>31</v>
      </c>
      <c r="AU17" t="s">
        <v>19</v>
      </c>
      <c r="AV17" s="1">
        <v>46158</v>
      </c>
      <c r="AW17" s="1">
        <v>46158.443425925929</v>
      </c>
      <c r="AX17">
        <v>202605</v>
      </c>
      <c r="AY17">
        <v>16</v>
      </c>
      <c r="AZ17" s="1">
        <v>46158</v>
      </c>
      <c r="BA17" s="1">
        <v>46158.613136574073</v>
      </c>
      <c r="BB17" t="s">
        <v>539</v>
      </c>
      <c r="BC17" t="s">
        <v>260</v>
      </c>
      <c r="BD17" t="s">
        <v>22</v>
      </c>
      <c r="BE17" s="7">
        <v>3744</v>
      </c>
      <c r="BF17" t="s">
        <v>521</v>
      </c>
      <c r="BH17" t="str">
        <f>VLOOKUP(Tabla2[[#This Row],[ID_TRANSACCION]],Hoja1!$B$4:$B$55,1,FALSE)</f>
        <v>BO_FS_202605162663801_29186660</v>
      </c>
    </row>
    <row r="18" spans="1:60" x14ac:dyDescent="0.25">
      <c r="A18" s="6">
        <v>46156</v>
      </c>
      <c r="B18" t="s">
        <v>205</v>
      </c>
      <c r="C18">
        <v>29173424</v>
      </c>
      <c r="E18" s="6">
        <v>46159</v>
      </c>
      <c r="H18" t="s">
        <v>206</v>
      </c>
      <c r="I18">
        <v>2661655</v>
      </c>
      <c r="K18" t="s">
        <v>207</v>
      </c>
      <c r="L18" t="s">
        <v>29</v>
      </c>
      <c r="M18" s="6">
        <v>46156</v>
      </c>
      <c r="N18" t="s">
        <v>30</v>
      </c>
      <c r="O18" t="s">
        <v>6</v>
      </c>
      <c r="Q18">
        <v>8</v>
      </c>
      <c r="V18" t="s">
        <v>8</v>
      </c>
      <c r="W18" t="s">
        <v>9</v>
      </c>
      <c r="X18" t="s">
        <v>10</v>
      </c>
      <c r="Z18" t="s">
        <v>208</v>
      </c>
      <c r="AH18" t="s">
        <v>12</v>
      </c>
      <c r="AI18" t="s">
        <v>518</v>
      </c>
      <c r="AJ18" t="s">
        <v>519</v>
      </c>
      <c r="AK18" s="7">
        <v>2661655</v>
      </c>
      <c r="AL18" s="7">
        <v>29173424</v>
      </c>
      <c r="AM18" t="s">
        <v>206</v>
      </c>
      <c r="AN18" t="s">
        <v>15</v>
      </c>
      <c r="AO18" t="s">
        <v>12</v>
      </c>
      <c r="AP18" t="s">
        <v>16</v>
      </c>
      <c r="AQ18" t="s">
        <v>518</v>
      </c>
      <c r="AR18" t="s">
        <v>17</v>
      </c>
      <c r="AS18" t="s">
        <v>10</v>
      </c>
      <c r="AT18" t="s">
        <v>31</v>
      </c>
      <c r="AU18" t="s">
        <v>19</v>
      </c>
      <c r="AV18" s="1">
        <v>46155</v>
      </c>
      <c r="AW18" s="1">
        <v>46155.384606481479</v>
      </c>
      <c r="AX18">
        <v>202605</v>
      </c>
      <c r="AY18">
        <v>14</v>
      </c>
      <c r="AZ18" s="1">
        <v>46156</v>
      </c>
      <c r="BA18" s="1">
        <v>46156.517384259256</v>
      </c>
      <c r="BB18" t="s">
        <v>540</v>
      </c>
      <c r="BC18" t="s">
        <v>212</v>
      </c>
      <c r="BD18" t="s">
        <v>22</v>
      </c>
      <c r="BE18" s="7">
        <v>3744</v>
      </c>
      <c r="BF18" t="s">
        <v>521</v>
      </c>
      <c r="BH18" t="str">
        <f>VLOOKUP(Tabla2[[#This Row],[ID_TRANSACCION]],Hoja1!$B$4:$B$55,1,FALSE)</f>
        <v>BO_FS_202605142661655_29173424</v>
      </c>
    </row>
    <row r="19" spans="1:60" x14ac:dyDescent="0.25">
      <c r="A19" s="6">
        <v>46157</v>
      </c>
      <c r="B19" t="s">
        <v>173</v>
      </c>
      <c r="C19">
        <v>29168521</v>
      </c>
      <c r="E19" s="6">
        <v>46160</v>
      </c>
      <c r="H19" t="s">
        <v>175</v>
      </c>
      <c r="I19">
        <v>2660990</v>
      </c>
      <c r="K19" t="s">
        <v>176</v>
      </c>
      <c r="L19" t="s">
        <v>29</v>
      </c>
      <c r="M19" s="6">
        <v>46157</v>
      </c>
      <c r="N19" t="s">
        <v>30</v>
      </c>
      <c r="O19" t="s">
        <v>6</v>
      </c>
      <c r="Q19">
        <v>10</v>
      </c>
      <c r="R19" t="s">
        <v>177</v>
      </c>
      <c r="V19" t="s">
        <v>8</v>
      </c>
      <c r="W19" t="s">
        <v>9</v>
      </c>
      <c r="X19" t="s">
        <v>10</v>
      </c>
      <c r="Z19" t="s">
        <v>11</v>
      </c>
      <c r="AH19" t="s">
        <v>12</v>
      </c>
      <c r="AI19" t="s">
        <v>518</v>
      </c>
      <c r="AJ19" t="s">
        <v>519</v>
      </c>
      <c r="AK19" s="7">
        <v>2660990</v>
      </c>
      <c r="AL19" s="7">
        <v>29168521</v>
      </c>
      <c r="AM19" t="s">
        <v>175</v>
      </c>
      <c r="AN19" t="s">
        <v>15</v>
      </c>
      <c r="AO19" t="s">
        <v>12</v>
      </c>
      <c r="AP19" t="s">
        <v>16</v>
      </c>
      <c r="AQ19" t="s">
        <v>518</v>
      </c>
      <c r="AR19" t="s">
        <v>17</v>
      </c>
      <c r="AS19" t="s">
        <v>10</v>
      </c>
      <c r="AT19" t="s">
        <v>31</v>
      </c>
      <c r="AU19" t="s">
        <v>19</v>
      </c>
      <c r="AV19" s="1">
        <v>46156</v>
      </c>
      <c r="AW19" s="1">
        <v>46156.428576388891</v>
      </c>
      <c r="AX19">
        <v>202605</v>
      </c>
      <c r="AY19">
        <v>15</v>
      </c>
      <c r="AZ19" s="1">
        <v>46157</v>
      </c>
      <c r="BA19" s="1">
        <v>46157.42559027778</v>
      </c>
      <c r="BB19" t="s">
        <v>523</v>
      </c>
      <c r="BC19" t="s">
        <v>181</v>
      </c>
      <c r="BD19" t="s">
        <v>22</v>
      </c>
      <c r="BE19" s="7">
        <v>3744</v>
      </c>
      <c r="BF19" t="s">
        <v>521</v>
      </c>
      <c r="BH19" t="str">
        <f>VLOOKUP(Tabla2[[#This Row],[ID_TRANSACCION]],Hoja1!$B$4:$B$55,1,FALSE)</f>
        <v>BO_FS_202605152660990_29168521</v>
      </c>
    </row>
    <row r="20" spans="1:60" x14ac:dyDescent="0.25">
      <c r="A20" s="6">
        <v>46157</v>
      </c>
      <c r="B20" t="s">
        <v>182</v>
      </c>
      <c r="C20">
        <v>29179740</v>
      </c>
      <c r="E20" s="6">
        <v>46160</v>
      </c>
      <c r="H20" t="s">
        <v>183</v>
      </c>
      <c r="I20">
        <v>2662795</v>
      </c>
      <c r="K20" t="s">
        <v>184</v>
      </c>
      <c r="L20" t="s">
        <v>29</v>
      </c>
      <c r="M20" s="6">
        <v>46157</v>
      </c>
      <c r="N20" t="s">
        <v>30</v>
      </c>
      <c r="O20" t="s">
        <v>6</v>
      </c>
      <c r="Q20">
        <v>10</v>
      </c>
      <c r="R20">
        <v>10</v>
      </c>
      <c r="V20" t="s">
        <v>8</v>
      </c>
      <c r="W20" t="s">
        <v>9</v>
      </c>
      <c r="X20" t="s">
        <v>10</v>
      </c>
      <c r="Z20" t="s">
        <v>11</v>
      </c>
      <c r="AH20" t="s">
        <v>12</v>
      </c>
      <c r="AI20" t="s">
        <v>518</v>
      </c>
      <c r="AJ20" t="s">
        <v>519</v>
      </c>
      <c r="AK20" s="7">
        <v>2662795</v>
      </c>
      <c r="AL20" s="7">
        <v>29179740</v>
      </c>
      <c r="AM20" t="s">
        <v>185</v>
      </c>
      <c r="AN20" t="s">
        <v>15</v>
      </c>
      <c r="AO20" t="s">
        <v>12</v>
      </c>
      <c r="AP20" t="s">
        <v>16</v>
      </c>
      <c r="AQ20" t="s">
        <v>518</v>
      </c>
      <c r="AR20" t="s">
        <v>17</v>
      </c>
      <c r="AS20" t="s">
        <v>10</v>
      </c>
      <c r="AT20" t="s">
        <v>31</v>
      </c>
      <c r="AU20" t="s">
        <v>19</v>
      </c>
      <c r="AV20" s="1">
        <v>46156</v>
      </c>
      <c r="AW20" s="1">
        <v>46156.554768518516</v>
      </c>
      <c r="AX20">
        <v>202605</v>
      </c>
      <c r="AY20">
        <v>15</v>
      </c>
      <c r="AZ20" s="1">
        <v>46157</v>
      </c>
      <c r="BA20" s="1">
        <v>46157.571944444448</v>
      </c>
      <c r="BB20" t="s">
        <v>541</v>
      </c>
      <c r="BC20" t="s">
        <v>188</v>
      </c>
      <c r="BD20" t="s">
        <v>22</v>
      </c>
      <c r="BE20" s="7">
        <v>3744</v>
      </c>
      <c r="BF20" t="s">
        <v>521</v>
      </c>
      <c r="BH20" t="str">
        <f>VLOOKUP(Tabla2[[#This Row],[ID_TRANSACCION]],Hoja1!$B$4:$B$55,1,FALSE)</f>
        <v>BO_FS_202605152662795_29179740</v>
      </c>
    </row>
    <row r="21" spans="1:60" x14ac:dyDescent="0.25">
      <c r="A21" s="6">
        <v>46157</v>
      </c>
      <c r="B21" t="s">
        <v>189</v>
      </c>
      <c r="C21">
        <v>29176801</v>
      </c>
      <c r="E21" s="6">
        <v>46160</v>
      </c>
      <c r="H21" t="s">
        <v>190</v>
      </c>
      <c r="I21">
        <v>2662378</v>
      </c>
      <c r="K21" t="s">
        <v>191</v>
      </c>
      <c r="L21" t="s">
        <v>29</v>
      </c>
      <c r="M21" s="6">
        <v>46157</v>
      </c>
      <c r="N21" t="s">
        <v>30</v>
      </c>
      <c r="O21" t="s">
        <v>6</v>
      </c>
      <c r="Q21">
        <v>10</v>
      </c>
      <c r="V21" t="s">
        <v>8</v>
      </c>
      <c r="W21" t="s">
        <v>9</v>
      </c>
      <c r="X21" t="s">
        <v>10</v>
      </c>
      <c r="Z21" t="s">
        <v>11</v>
      </c>
      <c r="AH21" t="s">
        <v>12</v>
      </c>
      <c r="AI21" t="s">
        <v>518</v>
      </c>
      <c r="AJ21" t="s">
        <v>519</v>
      </c>
      <c r="AK21" s="7">
        <v>2662378</v>
      </c>
      <c r="AL21" s="7">
        <v>29176801</v>
      </c>
      <c r="AM21" t="s">
        <v>190</v>
      </c>
      <c r="AN21" t="s">
        <v>15</v>
      </c>
      <c r="AO21" t="s">
        <v>12</v>
      </c>
      <c r="AP21" t="s">
        <v>16</v>
      </c>
      <c r="AQ21" t="s">
        <v>518</v>
      </c>
      <c r="AR21" t="s">
        <v>17</v>
      </c>
      <c r="AS21" t="s">
        <v>10</v>
      </c>
      <c r="AT21" t="s">
        <v>31</v>
      </c>
      <c r="AU21" t="s">
        <v>19</v>
      </c>
      <c r="AV21" s="1">
        <v>46155</v>
      </c>
      <c r="AW21" s="1">
        <v>46155.698831018519</v>
      </c>
      <c r="AX21">
        <v>202605</v>
      </c>
      <c r="AY21">
        <v>15</v>
      </c>
      <c r="AZ21" s="1">
        <v>46157</v>
      </c>
      <c r="BA21" s="1">
        <v>46157.414699074077</v>
      </c>
      <c r="BB21" t="s">
        <v>542</v>
      </c>
      <c r="BC21" t="s">
        <v>196</v>
      </c>
      <c r="BD21" t="s">
        <v>22</v>
      </c>
      <c r="BE21" s="7">
        <v>3744</v>
      </c>
      <c r="BF21" t="s">
        <v>521</v>
      </c>
      <c r="BH21" t="str">
        <f>VLOOKUP(Tabla2[[#This Row],[ID_TRANSACCION]],Hoja1!$B$4:$B$55,1,FALSE)</f>
        <v>BO_FS_202605152662378_29176801</v>
      </c>
    </row>
    <row r="22" spans="1:60" x14ac:dyDescent="0.25">
      <c r="A22" s="6">
        <v>46161</v>
      </c>
      <c r="B22" t="s">
        <v>285</v>
      </c>
      <c r="C22">
        <v>29179752</v>
      </c>
      <c r="E22" s="6">
        <v>46162</v>
      </c>
      <c r="H22" t="s">
        <v>286</v>
      </c>
      <c r="I22">
        <v>2661004</v>
      </c>
      <c r="K22" t="s">
        <v>287</v>
      </c>
      <c r="L22" t="s">
        <v>29</v>
      </c>
      <c r="M22" s="6">
        <v>46161</v>
      </c>
      <c r="N22" t="s">
        <v>30</v>
      </c>
      <c r="O22" t="s">
        <v>6</v>
      </c>
      <c r="Q22">
        <v>10</v>
      </c>
      <c r="V22" t="s">
        <v>8</v>
      </c>
      <c r="W22" t="s">
        <v>9</v>
      </c>
      <c r="X22" t="s">
        <v>10</v>
      </c>
      <c r="Z22" t="s">
        <v>11</v>
      </c>
      <c r="AH22" t="s">
        <v>12</v>
      </c>
      <c r="AI22" t="s">
        <v>518</v>
      </c>
      <c r="AJ22" t="s">
        <v>519</v>
      </c>
      <c r="AK22" s="7">
        <v>2661004</v>
      </c>
      <c r="AL22" s="7">
        <v>29179752</v>
      </c>
      <c r="AM22" t="s">
        <v>286</v>
      </c>
      <c r="AN22" t="s">
        <v>15</v>
      </c>
      <c r="AO22" t="s">
        <v>12</v>
      </c>
      <c r="AP22" t="s">
        <v>16</v>
      </c>
      <c r="AQ22" t="s">
        <v>518</v>
      </c>
      <c r="AR22" t="s">
        <v>17</v>
      </c>
      <c r="AS22" t="s">
        <v>10</v>
      </c>
      <c r="AT22" t="s">
        <v>31</v>
      </c>
      <c r="AU22" t="s">
        <v>19</v>
      </c>
      <c r="AV22" s="1">
        <v>46161</v>
      </c>
      <c r="AW22" s="1">
        <v>46161.471712962964</v>
      </c>
      <c r="AX22">
        <v>202605</v>
      </c>
      <c r="AY22">
        <v>19</v>
      </c>
      <c r="AZ22" s="1">
        <v>46161</v>
      </c>
      <c r="BA22" s="1">
        <v>46161.709062499998</v>
      </c>
      <c r="BB22" t="s">
        <v>520</v>
      </c>
      <c r="BC22" t="s">
        <v>290</v>
      </c>
      <c r="BD22" t="s">
        <v>22</v>
      </c>
      <c r="BE22" s="7">
        <v>3744</v>
      </c>
      <c r="BF22" t="s">
        <v>521</v>
      </c>
      <c r="BH22" t="str">
        <f>VLOOKUP(Tabla2[[#This Row],[ID_TRANSACCION]],Hoja1!$B$4:$B$55,1,FALSE)</f>
        <v>BO_FS_202605192661004_29179752</v>
      </c>
    </row>
    <row r="23" spans="1:60" x14ac:dyDescent="0.25">
      <c r="A23" s="6">
        <v>46161</v>
      </c>
      <c r="B23" t="s">
        <v>543</v>
      </c>
      <c r="C23">
        <v>29195054</v>
      </c>
      <c r="E23" s="6">
        <v>46162</v>
      </c>
      <c r="H23" t="s">
        <v>544</v>
      </c>
      <c r="I23">
        <v>2664882</v>
      </c>
      <c r="K23" t="s">
        <v>545</v>
      </c>
      <c r="L23" t="s">
        <v>29</v>
      </c>
      <c r="M23" s="6">
        <v>46161</v>
      </c>
      <c r="N23" t="s">
        <v>30</v>
      </c>
      <c r="O23" t="s">
        <v>6</v>
      </c>
      <c r="Q23">
        <v>9</v>
      </c>
      <c r="R23" t="s">
        <v>307</v>
      </c>
      <c r="V23" t="s">
        <v>8</v>
      </c>
      <c r="W23" t="s">
        <v>9</v>
      </c>
      <c r="X23" t="s">
        <v>10</v>
      </c>
      <c r="Z23" t="s">
        <v>11</v>
      </c>
      <c r="AH23" t="s">
        <v>12</v>
      </c>
      <c r="AI23" t="s">
        <v>546</v>
      </c>
      <c r="AJ23" t="s">
        <v>519</v>
      </c>
      <c r="AK23" s="7">
        <v>2664882</v>
      </c>
      <c r="AL23" s="7">
        <v>29195054</v>
      </c>
      <c r="AM23" t="s">
        <v>544</v>
      </c>
      <c r="AN23" t="s">
        <v>15</v>
      </c>
      <c r="AO23" t="s">
        <v>12</v>
      </c>
      <c r="AP23" t="s">
        <v>16</v>
      </c>
      <c r="AQ23" t="s">
        <v>546</v>
      </c>
      <c r="AR23" t="s">
        <v>17</v>
      </c>
      <c r="AS23" t="s">
        <v>10</v>
      </c>
      <c r="AT23" t="s">
        <v>31</v>
      </c>
      <c r="AU23" t="s">
        <v>19</v>
      </c>
      <c r="AV23" s="1">
        <v>46161</v>
      </c>
      <c r="AW23" s="1">
        <v>46161.492280092592</v>
      </c>
      <c r="AX23">
        <v>202605</v>
      </c>
      <c r="AY23">
        <v>19</v>
      </c>
      <c r="AZ23" s="1">
        <v>46161</v>
      </c>
      <c r="BA23" s="1">
        <v>46161.615729166668</v>
      </c>
      <c r="BB23" t="s">
        <v>547</v>
      </c>
      <c r="BC23" t="s">
        <v>548</v>
      </c>
      <c r="BD23" t="s">
        <v>22</v>
      </c>
      <c r="BE23" s="7">
        <v>3744</v>
      </c>
      <c r="BF23" t="s">
        <v>521</v>
      </c>
      <c r="BH23" t="e">
        <f>VLOOKUP(Tabla2[[#This Row],[ID_TRANSACCION]],Hoja1!$B$4:$B$55,1,FALSE)</f>
        <v>#N/A</v>
      </c>
    </row>
    <row r="24" spans="1:60" x14ac:dyDescent="0.25">
      <c r="A24" s="6">
        <v>46163</v>
      </c>
      <c r="B24" t="s">
        <v>214</v>
      </c>
      <c r="C24">
        <v>29200626</v>
      </c>
      <c r="E24" s="6">
        <v>46166</v>
      </c>
      <c r="H24" t="s">
        <v>216</v>
      </c>
      <c r="I24">
        <v>2665678</v>
      </c>
      <c r="K24" t="s">
        <v>217</v>
      </c>
      <c r="L24" t="s">
        <v>29</v>
      </c>
      <c r="M24" s="6">
        <v>46163</v>
      </c>
      <c r="N24" t="s">
        <v>30</v>
      </c>
      <c r="O24" t="s">
        <v>6</v>
      </c>
      <c r="Q24">
        <v>10</v>
      </c>
      <c r="R24" t="s">
        <v>218</v>
      </c>
      <c r="V24" t="s">
        <v>8</v>
      </c>
      <c r="W24" t="s">
        <v>9</v>
      </c>
      <c r="X24" t="s">
        <v>10</v>
      </c>
      <c r="Z24" t="s">
        <v>11</v>
      </c>
      <c r="AH24" t="s">
        <v>12</v>
      </c>
      <c r="AI24" t="s">
        <v>518</v>
      </c>
      <c r="AJ24" t="s">
        <v>519</v>
      </c>
      <c r="AK24" s="7">
        <v>2665678</v>
      </c>
      <c r="AL24" s="7">
        <v>29200626</v>
      </c>
      <c r="AM24" t="s">
        <v>216</v>
      </c>
      <c r="AN24" t="s">
        <v>15</v>
      </c>
      <c r="AO24" t="s">
        <v>12</v>
      </c>
      <c r="AP24" t="s">
        <v>16</v>
      </c>
      <c r="AQ24" t="s">
        <v>518</v>
      </c>
      <c r="AR24" t="s">
        <v>17</v>
      </c>
      <c r="AS24" t="s">
        <v>10</v>
      </c>
      <c r="AT24" t="s">
        <v>31</v>
      </c>
      <c r="AU24" t="s">
        <v>19</v>
      </c>
      <c r="AV24" s="1">
        <v>46162</v>
      </c>
      <c r="AW24" s="1">
        <v>46162.674571759257</v>
      </c>
      <c r="AX24">
        <v>202605</v>
      </c>
      <c r="AY24">
        <v>21</v>
      </c>
      <c r="AZ24" s="1">
        <v>46163</v>
      </c>
      <c r="BA24" s="1">
        <v>46163.407905092594</v>
      </c>
      <c r="BB24" t="s">
        <v>549</v>
      </c>
      <c r="BC24" t="s">
        <v>223</v>
      </c>
      <c r="BD24" t="s">
        <v>22</v>
      </c>
      <c r="BE24" s="7">
        <v>3744</v>
      </c>
      <c r="BF24" t="s">
        <v>521</v>
      </c>
      <c r="BH24" t="str">
        <f>VLOOKUP(Tabla2[[#This Row],[ID_TRANSACCION]],Hoja1!$B$4:$B$55,1,FALSE)</f>
        <v>BO_FS_202605212665678_29200626</v>
      </c>
    </row>
    <row r="25" spans="1:60" x14ac:dyDescent="0.25">
      <c r="A25" s="6">
        <v>46165</v>
      </c>
      <c r="B25" t="s">
        <v>225</v>
      </c>
      <c r="C25">
        <v>29209953</v>
      </c>
      <c r="E25" s="6">
        <v>46166</v>
      </c>
      <c r="H25" t="s">
        <v>226</v>
      </c>
      <c r="I25">
        <v>2666965</v>
      </c>
      <c r="K25" t="s">
        <v>227</v>
      </c>
      <c r="L25" t="s">
        <v>29</v>
      </c>
      <c r="M25" s="6">
        <v>46165</v>
      </c>
      <c r="N25" t="s">
        <v>30</v>
      </c>
      <c r="O25" t="s">
        <v>6</v>
      </c>
      <c r="Q25">
        <v>8</v>
      </c>
      <c r="V25" t="s">
        <v>8</v>
      </c>
      <c r="W25" t="s">
        <v>9</v>
      </c>
      <c r="X25" t="s">
        <v>10</v>
      </c>
      <c r="Z25" t="s">
        <v>208</v>
      </c>
      <c r="AH25" t="s">
        <v>12</v>
      </c>
      <c r="AI25" t="s">
        <v>518</v>
      </c>
      <c r="AJ25" t="s">
        <v>519</v>
      </c>
      <c r="AK25" s="7">
        <v>2666965</v>
      </c>
      <c r="AL25" s="7">
        <v>29209953</v>
      </c>
      <c r="AM25" t="s">
        <v>226</v>
      </c>
      <c r="AN25" t="s">
        <v>15</v>
      </c>
      <c r="AO25" t="s">
        <v>12</v>
      </c>
      <c r="AP25" t="s">
        <v>16</v>
      </c>
      <c r="AQ25" t="s">
        <v>518</v>
      </c>
      <c r="AR25" t="s">
        <v>17</v>
      </c>
      <c r="AS25" t="s">
        <v>10</v>
      </c>
      <c r="AT25" t="s">
        <v>31</v>
      </c>
      <c r="AU25" t="s">
        <v>19</v>
      </c>
      <c r="AV25" s="1">
        <v>46165</v>
      </c>
      <c r="AW25" s="1">
        <v>46165.470659722225</v>
      </c>
      <c r="AX25">
        <v>202605</v>
      </c>
      <c r="AY25">
        <v>23</v>
      </c>
      <c r="AZ25" s="1">
        <v>46165</v>
      </c>
      <c r="BA25" s="1">
        <v>46165.526678240742</v>
      </c>
      <c r="BB25" t="s">
        <v>550</v>
      </c>
      <c r="BC25" t="s">
        <v>231</v>
      </c>
      <c r="BD25" t="s">
        <v>22</v>
      </c>
      <c r="BE25" s="7">
        <v>3744</v>
      </c>
      <c r="BF25" t="s">
        <v>521</v>
      </c>
      <c r="BH25" t="str">
        <f>VLOOKUP(Tabla2[[#This Row],[ID_TRANSACCION]],Hoja1!$B$4:$B$55,1,FALSE)</f>
        <v>BO_FS_202605232666965_29209953</v>
      </c>
    </row>
    <row r="26" spans="1:60" x14ac:dyDescent="0.25">
      <c r="A26" s="6">
        <v>46165</v>
      </c>
      <c r="B26" t="s">
        <v>232</v>
      </c>
      <c r="C26">
        <v>29208851</v>
      </c>
      <c r="E26" s="6">
        <v>46166</v>
      </c>
      <c r="H26" t="s">
        <v>233</v>
      </c>
      <c r="I26">
        <v>2666994</v>
      </c>
      <c r="K26" t="s">
        <v>234</v>
      </c>
      <c r="L26" t="s">
        <v>29</v>
      </c>
      <c r="M26" s="6">
        <v>46165</v>
      </c>
      <c r="N26" t="s">
        <v>30</v>
      </c>
      <c r="O26" t="s">
        <v>6</v>
      </c>
      <c r="Q26">
        <v>10</v>
      </c>
      <c r="V26" t="s">
        <v>8</v>
      </c>
      <c r="W26" t="s">
        <v>9</v>
      </c>
      <c r="X26" t="s">
        <v>10</v>
      </c>
      <c r="Z26" t="s">
        <v>11</v>
      </c>
      <c r="AH26" t="s">
        <v>12</v>
      </c>
      <c r="AI26" t="s">
        <v>518</v>
      </c>
      <c r="AJ26" t="s">
        <v>519</v>
      </c>
      <c r="AK26" s="7">
        <v>2666994</v>
      </c>
      <c r="AL26" s="7">
        <v>29208851</v>
      </c>
      <c r="AM26" t="s">
        <v>233</v>
      </c>
      <c r="AN26" t="s">
        <v>15</v>
      </c>
      <c r="AO26" t="s">
        <v>12</v>
      </c>
      <c r="AP26" t="s">
        <v>16</v>
      </c>
      <c r="AQ26" t="s">
        <v>518</v>
      </c>
      <c r="AR26" t="s">
        <v>17</v>
      </c>
      <c r="AS26" t="s">
        <v>10</v>
      </c>
      <c r="AT26" t="s">
        <v>31</v>
      </c>
      <c r="AU26" t="s">
        <v>19</v>
      </c>
      <c r="AV26" s="1">
        <v>46164</v>
      </c>
      <c r="AW26" s="1">
        <v>46164.813206018516</v>
      </c>
      <c r="AX26">
        <v>202605</v>
      </c>
      <c r="AY26">
        <v>23</v>
      </c>
      <c r="AZ26" s="1">
        <v>46165</v>
      </c>
      <c r="BA26" s="1">
        <v>46165.449317129627</v>
      </c>
      <c r="BB26" t="s">
        <v>551</v>
      </c>
      <c r="BC26" t="s">
        <v>239</v>
      </c>
      <c r="BD26" t="s">
        <v>22</v>
      </c>
      <c r="BE26" s="7">
        <v>3744</v>
      </c>
      <c r="BF26" t="s">
        <v>521</v>
      </c>
      <c r="BH26" t="str">
        <f>VLOOKUP(Tabla2[[#This Row],[ID_TRANSACCION]],Hoja1!$B$4:$B$55,1,FALSE)</f>
        <v>BO_FS_202605232666994_29208851</v>
      </c>
    </row>
    <row r="27" spans="1:60" x14ac:dyDescent="0.25">
      <c r="A27" s="6">
        <v>46165</v>
      </c>
      <c r="B27" t="s">
        <v>240</v>
      </c>
      <c r="C27">
        <v>29210542</v>
      </c>
      <c r="E27" s="6">
        <v>46166</v>
      </c>
      <c r="H27" t="s">
        <v>241</v>
      </c>
      <c r="I27">
        <v>2480261</v>
      </c>
      <c r="K27" t="s">
        <v>242</v>
      </c>
      <c r="L27" t="s">
        <v>29</v>
      </c>
      <c r="M27" s="6">
        <v>46165</v>
      </c>
      <c r="N27" t="s">
        <v>30</v>
      </c>
      <c r="O27" t="s">
        <v>6</v>
      </c>
      <c r="Q27">
        <v>9</v>
      </c>
      <c r="R27" t="s">
        <v>552</v>
      </c>
      <c r="V27" t="s">
        <v>8</v>
      </c>
      <c r="W27" t="s">
        <v>9</v>
      </c>
      <c r="X27" t="s">
        <v>10</v>
      </c>
      <c r="Z27" t="s">
        <v>11</v>
      </c>
      <c r="AH27" t="s">
        <v>12</v>
      </c>
      <c r="AI27" t="s">
        <v>518</v>
      </c>
      <c r="AJ27" t="s">
        <v>519</v>
      </c>
      <c r="AK27" s="7">
        <v>2480261</v>
      </c>
      <c r="AL27" s="7">
        <v>29210542</v>
      </c>
      <c r="AM27" t="s">
        <v>241</v>
      </c>
      <c r="AN27" t="s">
        <v>15</v>
      </c>
      <c r="AO27" t="s">
        <v>12</v>
      </c>
      <c r="AP27" t="s">
        <v>16</v>
      </c>
      <c r="AQ27" t="s">
        <v>518</v>
      </c>
      <c r="AR27" t="s">
        <v>17</v>
      </c>
      <c r="AS27" t="s">
        <v>10</v>
      </c>
      <c r="AT27" t="s">
        <v>31</v>
      </c>
      <c r="AU27" t="s">
        <v>19</v>
      </c>
      <c r="AV27" s="1">
        <v>46165</v>
      </c>
      <c r="AW27" s="1">
        <v>46165.547766203701</v>
      </c>
      <c r="AX27">
        <v>202605</v>
      </c>
      <c r="AY27">
        <v>23</v>
      </c>
      <c r="AZ27" s="1">
        <v>46165</v>
      </c>
      <c r="BA27" s="1">
        <v>46165.64880787037</v>
      </c>
      <c r="BB27" t="s">
        <v>553</v>
      </c>
      <c r="BC27" t="s">
        <v>247</v>
      </c>
      <c r="BD27" t="s">
        <v>22</v>
      </c>
      <c r="BE27" s="7">
        <v>3744</v>
      </c>
      <c r="BF27" t="s">
        <v>521</v>
      </c>
      <c r="BH27" t="str">
        <f>VLOOKUP(Tabla2[[#This Row],[ID_TRANSACCION]],Hoja1!$B$4:$B$55,1,FALSE)</f>
        <v>BO_FS_202605232480261_29210542</v>
      </c>
    </row>
    <row r="28" spans="1:60" x14ac:dyDescent="0.25">
      <c r="A28" s="6">
        <v>46168</v>
      </c>
      <c r="B28" t="s">
        <v>339</v>
      </c>
      <c r="C28">
        <v>29212416</v>
      </c>
      <c r="E28" s="6">
        <v>46168</v>
      </c>
      <c r="H28" t="s">
        <v>340</v>
      </c>
      <c r="I28">
        <v>2667547</v>
      </c>
      <c r="K28" t="s">
        <v>341</v>
      </c>
      <c r="L28" t="s">
        <v>29</v>
      </c>
      <c r="M28" s="6">
        <v>46168</v>
      </c>
      <c r="N28" t="s">
        <v>30</v>
      </c>
      <c r="O28" t="s">
        <v>6</v>
      </c>
      <c r="Q28">
        <v>10</v>
      </c>
      <c r="V28" t="s">
        <v>8</v>
      </c>
      <c r="W28" t="s">
        <v>9</v>
      </c>
      <c r="X28" t="s">
        <v>10</v>
      </c>
      <c r="Z28" t="s">
        <v>11</v>
      </c>
      <c r="AH28" t="s">
        <v>12</v>
      </c>
      <c r="AI28" t="s">
        <v>518</v>
      </c>
      <c r="AJ28" t="s">
        <v>519</v>
      </c>
      <c r="AK28" s="7">
        <v>2667547</v>
      </c>
      <c r="AL28" s="7">
        <v>29212416</v>
      </c>
      <c r="AM28" t="s">
        <v>340</v>
      </c>
      <c r="AN28" t="s">
        <v>15</v>
      </c>
      <c r="AO28" t="s">
        <v>12</v>
      </c>
      <c r="AP28" t="s">
        <v>16</v>
      </c>
      <c r="AQ28" t="s">
        <v>518</v>
      </c>
      <c r="AR28" t="s">
        <v>17</v>
      </c>
      <c r="AS28" t="s">
        <v>10</v>
      </c>
      <c r="AT28" t="s">
        <v>31</v>
      </c>
      <c r="AU28" t="s">
        <v>19</v>
      </c>
      <c r="AV28" s="1">
        <v>46166</v>
      </c>
      <c r="AW28" s="1">
        <v>46166.651446759257</v>
      </c>
      <c r="AX28">
        <v>202605</v>
      </c>
      <c r="AY28">
        <v>26</v>
      </c>
      <c r="AZ28" s="1">
        <v>46168</v>
      </c>
      <c r="BA28" s="1">
        <v>46168.616006944445</v>
      </c>
      <c r="BB28" t="s">
        <v>554</v>
      </c>
      <c r="BC28" t="s">
        <v>345</v>
      </c>
      <c r="BD28" t="s">
        <v>22</v>
      </c>
      <c r="BE28" s="7">
        <v>3744</v>
      </c>
      <c r="BF28" t="s">
        <v>521</v>
      </c>
      <c r="BH28" t="str">
        <f>VLOOKUP(Tabla2[[#This Row],[ID_TRANSACCION]],Hoja1!$B$4:$B$55,1,FALSE)</f>
        <v>BO_FS_202605262667547_29212416</v>
      </c>
    </row>
    <row r="29" spans="1:60" x14ac:dyDescent="0.25">
      <c r="A29" s="6">
        <v>46168</v>
      </c>
      <c r="B29" t="s">
        <v>346</v>
      </c>
      <c r="C29">
        <v>29216737</v>
      </c>
      <c r="E29" s="6">
        <v>46168</v>
      </c>
      <c r="H29" t="s">
        <v>347</v>
      </c>
      <c r="I29">
        <v>2668153</v>
      </c>
      <c r="K29" t="s">
        <v>127</v>
      </c>
      <c r="L29" t="s">
        <v>29</v>
      </c>
      <c r="M29" s="6">
        <v>46168</v>
      </c>
      <c r="N29" t="s">
        <v>30</v>
      </c>
      <c r="O29" t="s">
        <v>6</v>
      </c>
      <c r="Q29">
        <v>9</v>
      </c>
      <c r="R29" t="s">
        <v>555</v>
      </c>
      <c r="V29" t="s">
        <v>8</v>
      </c>
      <c r="W29" t="s">
        <v>9</v>
      </c>
      <c r="X29" t="s">
        <v>10</v>
      </c>
      <c r="Z29" t="s">
        <v>11</v>
      </c>
      <c r="AH29" t="s">
        <v>12</v>
      </c>
      <c r="AI29" t="s">
        <v>518</v>
      </c>
      <c r="AJ29" t="s">
        <v>519</v>
      </c>
      <c r="AK29" s="7">
        <v>2668153</v>
      </c>
      <c r="AL29" s="7">
        <v>29216737</v>
      </c>
      <c r="AM29" t="s">
        <v>347</v>
      </c>
      <c r="AN29" t="s">
        <v>15</v>
      </c>
      <c r="AO29" t="s">
        <v>12</v>
      </c>
      <c r="AP29" t="s">
        <v>16</v>
      </c>
      <c r="AQ29" t="s">
        <v>518</v>
      </c>
      <c r="AR29" t="s">
        <v>17</v>
      </c>
      <c r="AS29" t="s">
        <v>10</v>
      </c>
      <c r="AT29" t="s">
        <v>31</v>
      </c>
      <c r="AU29" t="s">
        <v>19</v>
      </c>
      <c r="AV29" s="1">
        <v>46167</v>
      </c>
      <c r="AW29" s="1">
        <v>46167.708495370367</v>
      </c>
      <c r="AX29">
        <v>202605</v>
      </c>
      <c r="AY29">
        <v>26</v>
      </c>
      <c r="AZ29" s="1">
        <v>46168</v>
      </c>
      <c r="BA29" s="1">
        <v>46168.672569444447</v>
      </c>
      <c r="BB29" t="s">
        <v>556</v>
      </c>
      <c r="BC29" t="s">
        <v>353</v>
      </c>
      <c r="BD29" t="s">
        <v>22</v>
      </c>
      <c r="BE29" s="7">
        <v>3744</v>
      </c>
      <c r="BF29" t="s">
        <v>521</v>
      </c>
      <c r="BH29" t="str">
        <f>VLOOKUP(Tabla2[[#This Row],[ID_TRANSACCION]],Hoja1!$B$4:$B$55,1,FALSE)</f>
        <v>BO_FS_202605262668153_29216737</v>
      </c>
    </row>
    <row r="30" spans="1:60" x14ac:dyDescent="0.25">
      <c r="A30" s="6">
        <v>46168</v>
      </c>
      <c r="B30" t="s">
        <v>354</v>
      </c>
      <c r="C30">
        <v>29203571</v>
      </c>
      <c r="E30" s="6">
        <v>46168</v>
      </c>
      <c r="H30" t="s">
        <v>358</v>
      </c>
      <c r="I30">
        <v>2666194</v>
      </c>
      <c r="K30" t="s">
        <v>356</v>
      </c>
      <c r="L30" t="s">
        <v>29</v>
      </c>
      <c r="M30" s="6">
        <v>46168</v>
      </c>
      <c r="N30" t="s">
        <v>30</v>
      </c>
      <c r="O30" t="s">
        <v>6</v>
      </c>
      <c r="Q30">
        <v>10</v>
      </c>
      <c r="R30" t="s">
        <v>307</v>
      </c>
      <c r="V30" t="s">
        <v>8</v>
      </c>
      <c r="W30" t="s">
        <v>9</v>
      </c>
      <c r="X30" t="s">
        <v>10</v>
      </c>
      <c r="Z30" t="s">
        <v>11</v>
      </c>
      <c r="AH30" t="s">
        <v>12</v>
      </c>
      <c r="AI30" t="s">
        <v>518</v>
      </c>
      <c r="AJ30" t="s">
        <v>519</v>
      </c>
      <c r="AK30" s="7">
        <v>2666194</v>
      </c>
      <c r="AL30" s="7">
        <v>29203571</v>
      </c>
      <c r="AM30" t="s">
        <v>358</v>
      </c>
      <c r="AN30" t="s">
        <v>15</v>
      </c>
      <c r="AO30" t="s">
        <v>12</v>
      </c>
      <c r="AP30" t="s">
        <v>16</v>
      </c>
      <c r="AQ30" t="s">
        <v>518</v>
      </c>
      <c r="AR30" t="s">
        <v>17</v>
      </c>
      <c r="AS30" t="s">
        <v>10</v>
      </c>
      <c r="AT30" t="s">
        <v>31</v>
      </c>
      <c r="AU30" t="s">
        <v>19</v>
      </c>
      <c r="AV30" s="1">
        <v>46167</v>
      </c>
      <c r="AW30" s="1">
        <v>46167.362002314818</v>
      </c>
      <c r="AX30">
        <v>202605</v>
      </c>
      <c r="AY30">
        <v>26</v>
      </c>
      <c r="AZ30" s="1">
        <v>46168</v>
      </c>
      <c r="BA30" s="1">
        <v>46168.358946759261</v>
      </c>
      <c r="BB30" t="s">
        <v>557</v>
      </c>
      <c r="BC30" t="s">
        <v>362</v>
      </c>
      <c r="BD30" t="s">
        <v>22</v>
      </c>
      <c r="BE30" s="7">
        <v>3744</v>
      </c>
      <c r="BF30" t="s">
        <v>521</v>
      </c>
      <c r="BH30" t="str">
        <f>VLOOKUP(Tabla2[[#This Row],[ID_TRANSACCION]],Hoja1!$B$4:$B$55,1,FALSE)</f>
        <v>BO_FS_202605262666194_29203571</v>
      </c>
    </row>
    <row r="31" spans="1:60" x14ac:dyDescent="0.25">
      <c r="A31" s="6">
        <v>46167</v>
      </c>
      <c r="B31" t="s">
        <v>363</v>
      </c>
      <c r="C31">
        <v>29212288</v>
      </c>
      <c r="E31" s="6">
        <v>46168</v>
      </c>
      <c r="H31" t="s">
        <v>364</v>
      </c>
      <c r="I31">
        <v>2667525</v>
      </c>
      <c r="K31" t="s">
        <v>365</v>
      </c>
      <c r="L31" t="s">
        <v>29</v>
      </c>
      <c r="M31" s="6">
        <v>46167</v>
      </c>
      <c r="N31" t="s">
        <v>30</v>
      </c>
      <c r="O31" t="s">
        <v>6</v>
      </c>
      <c r="Q31">
        <v>10</v>
      </c>
      <c r="R31" t="s">
        <v>558</v>
      </c>
      <c r="V31" t="s">
        <v>8</v>
      </c>
      <c r="W31" t="s">
        <v>9</v>
      </c>
      <c r="X31" t="s">
        <v>10</v>
      </c>
      <c r="Z31" t="s">
        <v>11</v>
      </c>
      <c r="AH31" t="s">
        <v>12</v>
      </c>
      <c r="AI31" t="s">
        <v>518</v>
      </c>
      <c r="AJ31" t="s">
        <v>519</v>
      </c>
      <c r="AK31" s="7">
        <v>2667525</v>
      </c>
      <c r="AL31" s="7">
        <v>29212288</v>
      </c>
      <c r="AM31" t="s">
        <v>364</v>
      </c>
      <c r="AN31" t="s">
        <v>15</v>
      </c>
      <c r="AO31" t="s">
        <v>12</v>
      </c>
      <c r="AP31" t="s">
        <v>16</v>
      </c>
      <c r="AQ31" t="s">
        <v>518</v>
      </c>
      <c r="AR31" t="s">
        <v>17</v>
      </c>
      <c r="AS31" t="s">
        <v>10</v>
      </c>
      <c r="AT31" t="s">
        <v>31</v>
      </c>
      <c r="AU31" t="s">
        <v>19</v>
      </c>
      <c r="AV31" s="1">
        <v>46166</v>
      </c>
      <c r="AW31" s="1">
        <v>46166.585995370369</v>
      </c>
      <c r="AX31">
        <v>202605</v>
      </c>
      <c r="AY31">
        <v>25</v>
      </c>
      <c r="AZ31" s="1">
        <v>46167</v>
      </c>
      <c r="BA31" s="1">
        <v>46167.519733796296</v>
      </c>
      <c r="BB31" t="s">
        <v>559</v>
      </c>
      <c r="BC31" t="s">
        <v>370</v>
      </c>
      <c r="BD31" t="s">
        <v>22</v>
      </c>
      <c r="BE31" s="7">
        <v>3744</v>
      </c>
      <c r="BF31" t="s">
        <v>521</v>
      </c>
      <c r="BH31" t="str">
        <f>VLOOKUP(Tabla2[[#This Row],[ID_TRANSACCION]],Hoja1!$B$4:$B$55,1,FALSE)</f>
        <v>BO_FS_202605252667525_29212288</v>
      </c>
    </row>
    <row r="32" spans="1:60" x14ac:dyDescent="0.25">
      <c r="A32" s="6">
        <v>46168</v>
      </c>
      <c r="B32" t="s">
        <v>371</v>
      </c>
      <c r="C32">
        <v>29216520</v>
      </c>
      <c r="E32" s="6">
        <v>46168</v>
      </c>
      <c r="H32" t="s">
        <v>372</v>
      </c>
      <c r="I32">
        <v>2668114</v>
      </c>
      <c r="K32" t="s">
        <v>373</v>
      </c>
      <c r="L32" t="s">
        <v>29</v>
      </c>
      <c r="M32" s="6">
        <v>46168</v>
      </c>
      <c r="N32" t="s">
        <v>30</v>
      </c>
      <c r="O32" t="s">
        <v>6</v>
      </c>
      <c r="Q32">
        <v>10</v>
      </c>
      <c r="R32" t="s">
        <v>560</v>
      </c>
      <c r="V32" t="s">
        <v>8</v>
      </c>
      <c r="W32" t="s">
        <v>9</v>
      </c>
      <c r="X32" t="s">
        <v>10</v>
      </c>
      <c r="Z32" t="s">
        <v>11</v>
      </c>
      <c r="AH32" t="s">
        <v>12</v>
      </c>
      <c r="AI32" t="s">
        <v>518</v>
      </c>
      <c r="AJ32" t="s">
        <v>519</v>
      </c>
      <c r="AK32" s="7">
        <v>2668114</v>
      </c>
      <c r="AL32" s="7">
        <v>29216520</v>
      </c>
      <c r="AM32" t="s">
        <v>372</v>
      </c>
      <c r="AN32" t="s">
        <v>15</v>
      </c>
      <c r="AO32" t="s">
        <v>12</v>
      </c>
      <c r="AP32" t="s">
        <v>16</v>
      </c>
      <c r="AQ32" t="s">
        <v>518</v>
      </c>
      <c r="AR32" t="s">
        <v>17</v>
      </c>
      <c r="AS32" t="s">
        <v>10</v>
      </c>
      <c r="AT32" t="s">
        <v>31</v>
      </c>
      <c r="AU32" t="s">
        <v>19</v>
      </c>
      <c r="AV32" s="1">
        <v>46167</v>
      </c>
      <c r="AW32" s="1">
        <v>46167.690300925926</v>
      </c>
      <c r="AX32">
        <v>202605</v>
      </c>
      <c r="AY32">
        <v>26</v>
      </c>
      <c r="AZ32" s="1">
        <v>46168</v>
      </c>
      <c r="BA32" s="1">
        <v>46168.403194444443</v>
      </c>
      <c r="BB32" t="s">
        <v>540</v>
      </c>
      <c r="BC32" t="s">
        <v>377</v>
      </c>
      <c r="BD32" t="s">
        <v>22</v>
      </c>
      <c r="BE32" s="7">
        <v>3744</v>
      </c>
      <c r="BF32" t="s">
        <v>521</v>
      </c>
      <c r="BH32" t="str">
        <f>VLOOKUP(Tabla2[[#This Row],[ID_TRANSACCION]],Hoja1!$B$4:$B$55,1,FALSE)</f>
        <v>BO_FS_202605262668114_29216520</v>
      </c>
    </row>
    <row r="33" spans="1:60" x14ac:dyDescent="0.25">
      <c r="A33" s="6">
        <v>46167</v>
      </c>
      <c r="B33" t="s">
        <v>378</v>
      </c>
      <c r="C33">
        <v>29214798</v>
      </c>
      <c r="E33" s="6">
        <v>46168</v>
      </c>
      <c r="H33" t="s">
        <v>379</v>
      </c>
      <c r="I33">
        <v>2667851</v>
      </c>
      <c r="K33" t="s">
        <v>380</v>
      </c>
      <c r="L33" t="s">
        <v>29</v>
      </c>
      <c r="M33" s="6">
        <v>46167</v>
      </c>
      <c r="N33" t="s">
        <v>30</v>
      </c>
      <c r="O33" t="s">
        <v>6</v>
      </c>
      <c r="Q33">
        <v>10</v>
      </c>
      <c r="R33" t="s">
        <v>381</v>
      </c>
      <c r="V33" t="s">
        <v>8</v>
      </c>
      <c r="W33" t="s">
        <v>9</v>
      </c>
      <c r="X33" t="s">
        <v>10</v>
      </c>
      <c r="Z33" t="s">
        <v>11</v>
      </c>
      <c r="AH33" t="s">
        <v>12</v>
      </c>
      <c r="AI33" t="s">
        <v>518</v>
      </c>
      <c r="AJ33" t="s">
        <v>519</v>
      </c>
      <c r="AK33" s="7">
        <v>2667851</v>
      </c>
      <c r="AL33" s="7">
        <v>29214798</v>
      </c>
      <c r="AM33" t="s">
        <v>379</v>
      </c>
      <c r="AN33" t="s">
        <v>15</v>
      </c>
      <c r="AO33" t="s">
        <v>12</v>
      </c>
      <c r="AP33" t="s">
        <v>16</v>
      </c>
      <c r="AQ33" t="s">
        <v>518</v>
      </c>
      <c r="AR33" t="s">
        <v>17</v>
      </c>
      <c r="AS33" t="s">
        <v>10</v>
      </c>
      <c r="AT33" t="s">
        <v>31</v>
      </c>
      <c r="AU33" t="s">
        <v>19</v>
      </c>
      <c r="AV33" s="1">
        <v>46167</v>
      </c>
      <c r="AW33" s="1">
        <v>46167.514201388891</v>
      </c>
      <c r="AX33">
        <v>202605</v>
      </c>
      <c r="AY33">
        <v>25</v>
      </c>
      <c r="AZ33" s="1">
        <v>46167</v>
      </c>
      <c r="BA33" s="1">
        <v>46167.684687499997</v>
      </c>
      <c r="BB33" t="s">
        <v>561</v>
      </c>
      <c r="BC33" t="s">
        <v>385</v>
      </c>
      <c r="BD33" t="s">
        <v>22</v>
      </c>
      <c r="BE33" s="7">
        <v>3744</v>
      </c>
      <c r="BF33" t="s">
        <v>521</v>
      </c>
      <c r="BH33" t="str">
        <f>VLOOKUP(Tabla2[[#This Row],[ID_TRANSACCION]],Hoja1!$B$4:$B$55,1,FALSE)</f>
        <v>BO_FS_202605252667851_29214798</v>
      </c>
    </row>
    <row r="34" spans="1:60" x14ac:dyDescent="0.25">
      <c r="A34" s="6">
        <v>46165</v>
      </c>
      <c r="B34" t="s">
        <v>386</v>
      </c>
      <c r="C34">
        <v>29208906</v>
      </c>
      <c r="E34" s="6">
        <v>46167</v>
      </c>
      <c r="H34" t="s">
        <v>387</v>
      </c>
      <c r="I34">
        <v>2667010</v>
      </c>
      <c r="K34" t="s">
        <v>388</v>
      </c>
      <c r="L34" t="s">
        <v>29</v>
      </c>
      <c r="M34" s="6">
        <v>46165</v>
      </c>
      <c r="N34" t="s">
        <v>30</v>
      </c>
      <c r="O34" t="s">
        <v>6</v>
      </c>
      <c r="Q34">
        <v>7</v>
      </c>
      <c r="R34" t="s">
        <v>562</v>
      </c>
      <c r="V34" t="s">
        <v>8</v>
      </c>
      <c r="W34" t="s">
        <v>280</v>
      </c>
      <c r="X34" t="s">
        <v>10</v>
      </c>
      <c r="Z34" t="s">
        <v>208</v>
      </c>
      <c r="AH34" t="s">
        <v>12</v>
      </c>
      <c r="AI34" t="s">
        <v>518</v>
      </c>
      <c r="AJ34" t="s">
        <v>519</v>
      </c>
      <c r="AK34" s="7">
        <v>2667010</v>
      </c>
      <c r="AL34" s="7">
        <v>29208906</v>
      </c>
      <c r="AM34" t="s">
        <v>387</v>
      </c>
      <c r="AN34" t="s">
        <v>15</v>
      </c>
      <c r="AO34" t="s">
        <v>12</v>
      </c>
      <c r="AP34" t="s">
        <v>16</v>
      </c>
      <c r="AQ34" t="s">
        <v>518</v>
      </c>
      <c r="AR34" t="s">
        <v>17</v>
      </c>
      <c r="AS34" t="s">
        <v>10</v>
      </c>
      <c r="AT34" t="s">
        <v>31</v>
      </c>
      <c r="AU34" t="s">
        <v>19</v>
      </c>
      <c r="AV34" s="1">
        <v>46164</v>
      </c>
      <c r="AW34" s="1">
        <v>46164.844525462962</v>
      </c>
      <c r="AX34">
        <v>202605</v>
      </c>
      <c r="AY34">
        <v>23</v>
      </c>
      <c r="AZ34" s="1">
        <v>46165</v>
      </c>
      <c r="BA34" s="1">
        <v>46165.560358796298</v>
      </c>
      <c r="BB34" t="s">
        <v>563</v>
      </c>
      <c r="BC34" t="s">
        <v>393</v>
      </c>
      <c r="BD34" t="s">
        <v>22</v>
      </c>
      <c r="BE34" s="7">
        <v>3744</v>
      </c>
      <c r="BF34" t="s">
        <v>521</v>
      </c>
      <c r="BH34" t="str">
        <f>VLOOKUP(Tabla2[[#This Row],[ID_TRANSACCION]],Hoja1!$B$4:$B$55,1,FALSE)</f>
        <v>BO_FS_202605232667010_29208906</v>
      </c>
    </row>
    <row r="35" spans="1:60" x14ac:dyDescent="0.25">
      <c r="A35" s="6">
        <v>46169</v>
      </c>
      <c r="B35" t="s">
        <v>394</v>
      </c>
      <c r="C35">
        <v>29220488</v>
      </c>
      <c r="E35" s="6">
        <v>46171</v>
      </c>
      <c r="H35" t="s">
        <v>395</v>
      </c>
      <c r="I35">
        <v>2668680</v>
      </c>
      <c r="K35" t="s">
        <v>396</v>
      </c>
      <c r="L35" t="s">
        <v>29</v>
      </c>
      <c r="M35" s="6">
        <v>46169</v>
      </c>
      <c r="N35" t="s">
        <v>30</v>
      </c>
      <c r="O35" t="s">
        <v>6</v>
      </c>
      <c r="Q35">
        <v>10</v>
      </c>
      <c r="V35" t="s">
        <v>8</v>
      </c>
      <c r="W35" t="s">
        <v>9</v>
      </c>
      <c r="X35" t="s">
        <v>10</v>
      </c>
      <c r="Z35" t="s">
        <v>11</v>
      </c>
      <c r="AH35" t="s">
        <v>12</v>
      </c>
      <c r="AI35" t="s">
        <v>518</v>
      </c>
      <c r="AJ35" t="s">
        <v>519</v>
      </c>
      <c r="AK35" s="7">
        <v>2668680</v>
      </c>
      <c r="AL35" s="7">
        <v>29220488</v>
      </c>
      <c r="AM35" t="s">
        <v>395</v>
      </c>
      <c r="AN35" t="s">
        <v>15</v>
      </c>
      <c r="AO35" t="s">
        <v>12</v>
      </c>
      <c r="AP35" t="s">
        <v>16</v>
      </c>
      <c r="AQ35" t="s">
        <v>518</v>
      </c>
      <c r="AR35" t="s">
        <v>17</v>
      </c>
      <c r="AS35" t="s">
        <v>10</v>
      </c>
      <c r="AT35" t="s">
        <v>31</v>
      </c>
      <c r="AU35" t="s">
        <v>19</v>
      </c>
      <c r="AV35" s="1">
        <v>46168</v>
      </c>
      <c r="AW35" s="1">
        <v>46168.617581018516</v>
      </c>
      <c r="AX35">
        <v>202605</v>
      </c>
      <c r="AY35">
        <v>27</v>
      </c>
      <c r="AZ35" s="1">
        <v>46169</v>
      </c>
      <c r="BA35" s="1">
        <v>46169.604641203703</v>
      </c>
      <c r="BB35" t="s">
        <v>564</v>
      </c>
      <c r="BC35" t="s">
        <v>400</v>
      </c>
      <c r="BD35" t="s">
        <v>22</v>
      </c>
      <c r="BE35" s="7">
        <v>3744</v>
      </c>
      <c r="BF35" t="s">
        <v>521</v>
      </c>
      <c r="BH35" t="str">
        <f>VLOOKUP(Tabla2[[#This Row],[ID_TRANSACCION]],Hoja1!$B$4:$B$55,1,FALSE)</f>
        <v>BO_FS_202605272668680_29220488</v>
      </c>
    </row>
    <row r="36" spans="1:60" x14ac:dyDescent="0.25">
      <c r="A36" s="6">
        <v>46170</v>
      </c>
      <c r="B36" t="s">
        <v>25</v>
      </c>
      <c r="C36">
        <v>29223247</v>
      </c>
      <c r="E36" s="6">
        <v>46171</v>
      </c>
      <c r="H36" t="s">
        <v>27</v>
      </c>
      <c r="I36">
        <v>2669033</v>
      </c>
      <c r="K36" t="s">
        <v>28</v>
      </c>
      <c r="L36" t="s">
        <v>29</v>
      </c>
      <c r="M36" s="6">
        <v>46170</v>
      </c>
      <c r="N36" t="s">
        <v>30</v>
      </c>
      <c r="O36" t="s">
        <v>6</v>
      </c>
      <c r="Q36">
        <v>9</v>
      </c>
      <c r="V36" t="s">
        <v>8</v>
      </c>
      <c r="W36" t="s">
        <v>9</v>
      </c>
      <c r="X36" t="s">
        <v>10</v>
      </c>
      <c r="Z36" t="s">
        <v>11</v>
      </c>
      <c r="AH36" t="s">
        <v>12</v>
      </c>
      <c r="AI36" t="s">
        <v>12</v>
      </c>
      <c r="AJ36" t="s">
        <v>519</v>
      </c>
      <c r="AK36" s="7">
        <v>2669033</v>
      </c>
      <c r="AL36" s="7">
        <v>29223247</v>
      </c>
      <c r="AM36" t="s">
        <v>27</v>
      </c>
      <c r="AN36" t="s">
        <v>15</v>
      </c>
      <c r="AO36" t="s">
        <v>12</v>
      </c>
      <c r="AP36" t="s">
        <v>16</v>
      </c>
      <c r="AQ36" t="s">
        <v>12</v>
      </c>
      <c r="AR36" t="s">
        <v>17</v>
      </c>
      <c r="AS36" t="s">
        <v>10</v>
      </c>
      <c r="AT36" t="s">
        <v>31</v>
      </c>
      <c r="AU36" t="s">
        <v>19</v>
      </c>
      <c r="AV36" s="1">
        <v>46169</v>
      </c>
      <c r="AW36" s="1">
        <v>46169.461516203701</v>
      </c>
      <c r="AX36">
        <v>202605</v>
      </c>
      <c r="AY36">
        <v>28</v>
      </c>
      <c r="AZ36" s="1">
        <v>46170</v>
      </c>
      <c r="BA36" s="1">
        <v>46170.446296296293</v>
      </c>
      <c r="BB36" t="s">
        <v>565</v>
      </c>
      <c r="BC36" t="s">
        <v>33</v>
      </c>
      <c r="BD36" t="s">
        <v>22</v>
      </c>
      <c r="BE36" s="7">
        <v>3744</v>
      </c>
      <c r="BF36" t="s">
        <v>521</v>
      </c>
      <c r="BH36" t="e">
        <f>VLOOKUP(Tabla2[[#This Row],[ID_TRANSACCION]],Hoja1!$B$4:$B$55,1,FALSE)</f>
        <v>#N/A</v>
      </c>
    </row>
    <row r="37" spans="1:60" x14ac:dyDescent="0.25">
      <c r="A37" s="6">
        <v>46173</v>
      </c>
      <c r="B37" t="s">
        <v>402</v>
      </c>
      <c r="C37">
        <v>29242377</v>
      </c>
      <c r="E37" s="6">
        <v>46173</v>
      </c>
      <c r="H37" t="s">
        <v>403</v>
      </c>
      <c r="I37">
        <v>2670957</v>
      </c>
      <c r="K37" t="s">
        <v>404</v>
      </c>
      <c r="L37" t="s">
        <v>29</v>
      </c>
      <c r="M37" s="6">
        <v>46173</v>
      </c>
      <c r="N37" t="s">
        <v>30</v>
      </c>
      <c r="O37" t="s">
        <v>6</v>
      </c>
      <c r="Q37">
        <v>10</v>
      </c>
      <c r="R37" t="s">
        <v>307</v>
      </c>
      <c r="V37" t="s">
        <v>8</v>
      </c>
      <c r="W37" t="s">
        <v>9</v>
      </c>
      <c r="X37" t="s">
        <v>10</v>
      </c>
      <c r="Z37" t="s">
        <v>11</v>
      </c>
      <c r="AH37" t="s">
        <v>12</v>
      </c>
      <c r="AI37" t="s">
        <v>518</v>
      </c>
      <c r="AJ37" t="s">
        <v>519</v>
      </c>
      <c r="AK37" s="7">
        <v>2670957</v>
      </c>
      <c r="AL37" s="7">
        <v>29242377</v>
      </c>
      <c r="AM37" t="s">
        <v>403</v>
      </c>
      <c r="AN37" t="s">
        <v>15</v>
      </c>
      <c r="AO37" t="s">
        <v>12</v>
      </c>
      <c r="AP37" t="s">
        <v>16</v>
      </c>
      <c r="AQ37" t="s">
        <v>518</v>
      </c>
      <c r="AR37" t="s">
        <v>17</v>
      </c>
      <c r="AS37" t="s">
        <v>10</v>
      </c>
      <c r="AT37" t="s">
        <v>31</v>
      </c>
      <c r="AU37" t="s">
        <v>19</v>
      </c>
      <c r="AV37" s="1">
        <v>46172</v>
      </c>
      <c r="AW37" s="1">
        <v>46172.698981481481</v>
      </c>
      <c r="AX37">
        <v>202605</v>
      </c>
      <c r="AY37">
        <v>31</v>
      </c>
      <c r="AZ37" s="1">
        <v>46173</v>
      </c>
      <c r="BA37" s="1">
        <v>46173.488587962966</v>
      </c>
      <c r="BB37" t="s">
        <v>551</v>
      </c>
      <c r="BC37" t="s">
        <v>408</v>
      </c>
      <c r="BD37" t="s">
        <v>22</v>
      </c>
      <c r="BE37" s="7">
        <v>3744</v>
      </c>
      <c r="BF37" t="s">
        <v>521</v>
      </c>
      <c r="BH37" t="str">
        <f>VLOOKUP(Tabla2[[#This Row],[ID_TRANSACCION]],Hoja1!$B$4:$B$55,1,FALSE)</f>
        <v>BO_FS_202605312670957_29242377</v>
      </c>
    </row>
    <row r="38" spans="1:60" x14ac:dyDescent="0.25">
      <c r="A38" s="6">
        <v>46171</v>
      </c>
      <c r="B38" t="s">
        <v>409</v>
      </c>
      <c r="C38">
        <v>29229465</v>
      </c>
      <c r="E38" s="6">
        <v>46173</v>
      </c>
      <c r="H38" t="s">
        <v>410</v>
      </c>
      <c r="I38">
        <v>2669771</v>
      </c>
      <c r="K38" t="s">
        <v>411</v>
      </c>
      <c r="L38" t="s">
        <v>29</v>
      </c>
      <c r="M38" s="6">
        <v>46171</v>
      </c>
      <c r="N38" t="s">
        <v>30</v>
      </c>
      <c r="O38" t="s">
        <v>6</v>
      </c>
      <c r="Q38">
        <v>10</v>
      </c>
      <c r="V38" t="s">
        <v>8</v>
      </c>
      <c r="W38" t="s">
        <v>9</v>
      </c>
      <c r="X38" t="s">
        <v>10</v>
      </c>
      <c r="Z38" t="s">
        <v>11</v>
      </c>
      <c r="AH38" t="s">
        <v>12</v>
      </c>
      <c r="AI38" t="s">
        <v>518</v>
      </c>
      <c r="AJ38" t="s">
        <v>519</v>
      </c>
      <c r="AK38" s="7">
        <v>2669771</v>
      </c>
      <c r="AL38" s="7">
        <v>29229465</v>
      </c>
      <c r="AM38" t="s">
        <v>410</v>
      </c>
      <c r="AN38" t="s">
        <v>15</v>
      </c>
      <c r="AO38" t="s">
        <v>12</v>
      </c>
      <c r="AP38" t="s">
        <v>16</v>
      </c>
      <c r="AQ38" t="s">
        <v>518</v>
      </c>
      <c r="AR38" t="s">
        <v>17</v>
      </c>
      <c r="AS38" t="s">
        <v>10</v>
      </c>
      <c r="AT38" t="s">
        <v>31</v>
      </c>
      <c r="AU38" t="s">
        <v>19</v>
      </c>
      <c r="AV38" s="1">
        <v>46170</v>
      </c>
      <c r="AW38" s="1">
        <v>46170.674722222226</v>
      </c>
      <c r="AX38">
        <v>202605</v>
      </c>
      <c r="AY38">
        <v>29</v>
      </c>
      <c r="AZ38" s="1">
        <v>46171</v>
      </c>
      <c r="BA38" s="1">
        <v>46171.663229166668</v>
      </c>
      <c r="BB38" t="s">
        <v>559</v>
      </c>
      <c r="BC38" t="s">
        <v>414</v>
      </c>
      <c r="BD38" t="s">
        <v>22</v>
      </c>
      <c r="BE38" s="7">
        <v>3744</v>
      </c>
      <c r="BF38" t="s">
        <v>521</v>
      </c>
      <c r="BH38" t="str">
        <f>VLOOKUP(Tabla2[[#This Row],[ID_TRANSACCION]],Hoja1!$B$4:$B$55,1,FALSE)</f>
        <v>BO_FS_202605292669771_29229465</v>
      </c>
    </row>
    <row r="39" spans="1:60" x14ac:dyDescent="0.25">
      <c r="A39" s="6">
        <v>46171</v>
      </c>
      <c r="B39" t="s">
        <v>415</v>
      </c>
      <c r="C39">
        <v>29227369</v>
      </c>
      <c r="E39" s="6">
        <v>46173</v>
      </c>
      <c r="H39" t="s">
        <v>416</v>
      </c>
      <c r="I39">
        <v>2669519</v>
      </c>
      <c r="K39" t="s">
        <v>417</v>
      </c>
      <c r="L39" t="s">
        <v>29</v>
      </c>
      <c r="M39" s="6">
        <v>46171</v>
      </c>
      <c r="N39" t="s">
        <v>30</v>
      </c>
      <c r="O39" t="s">
        <v>6</v>
      </c>
      <c r="Q39">
        <v>10</v>
      </c>
      <c r="V39" t="s">
        <v>8</v>
      </c>
      <c r="W39" t="s">
        <v>9</v>
      </c>
      <c r="X39" t="s">
        <v>10</v>
      </c>
      <c r="Z39" t="s">
        <v>11</v>
      </c>
      <c r="AH39" t="s">
        <v>12</v>
      </c>
      <c r="AI39" t="s">
        <v>518</v>
      </c>
      <c r="AJ39" t="s">
        <v>519</v>
      </c>
      <c r="AK39" s="7">
        <v>2669519</v>
      </c>
      <c r="AL39" s="7">
        <v>29227369</v>
      </c>
      <c r="AM39" t="s">
        <v>416</v>
      </c>
      <c r="AN39" t="s">
        <v>15</v>
      </c>
      <c r="AO39" t="s">
        <v>12</v>
      </c>
      <c r="AP39" t="s">
        <v>16</v>
      </c>
      <c r="AQ39" t="s">
        <v>518</v>
      </c>
      <c r="AR39" t="s">
        <v>17</v>
      </c>
      <c r="AS39" t="s">
        <v>10</v>
      </c>
      <c r="AT39" t="s">
        <v>31</v>
      </c>
      <c r="AU39" t="s">
        <v>19</v>
      </c>
      <c r="AV39" s="1">
        <v>46170</v>
      </c>
      <c r="AW39" s="1">
        <v>46170.488252314812</v>
      </c>
      <c r="AX39">
        <v>202605</v>
      </c>
      <c r="AY39">
        <v>29</v>
      </c>
      <c r="AZ39" s="1">
        <v>46171</v>
      </c>
      <c r="BA39" s="1">
        <v>46171.424259259256</v>
      </c>
      <c r="BB39" t="s">
        <v>532</v>
      </c>
      <c r="BC39" t="s">
        <v>420</v>
      </c>
      <c r="BD39" t="s">
        <v>22</v>
      </c>
      <c r="BE39" s="7">
        <v>3744</v>
      </c>
      <c r="BF39" t="s">
        <v>521</v>
      </c>
      <c r="BH39" t="str">
        <f>VLOOKUP(Tabla2[[#This Row],[ID_TRANSACCION]],Hoja1!$B$4:$B$55,1,FALSE)</f>
        <v>BO_FS_202605292669519_29227369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CABRERA</dc:creator>
  <cp:lastModifiedBy>TIGOSTAR</cp:lastModifiedBy>
  <dcterms:created xsi:type="dcterms:W3CDTF">2026-06-03T15:36:12Z</dcterms:created>
  <dcterms:modified xsi:type="dcterms:W3CDTF">2026-06-03T16:02:23Z</dcterms:modified>
</cp:coreProperties>
</file>